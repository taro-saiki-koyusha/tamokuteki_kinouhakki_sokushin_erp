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新様式　活動報告書　農地維持\"/>
    </mc:Choice>
  </mc:AlternateContent>
  <xr:revisionPtr revIDLastSave="0" documentId="13_ncr:1_{EDEBE9B2-3B7C-4A42-8887-FCAA034404C6}" xr6:coauthVersionLast="47" xr6:coauthVersionMax="47" xr10:uidLastSave="{00000000-0000-0000-0000-000000000000}"/>
  <bookViews>
    <workbookView xWindow="-120" yWindow="-120" windowWidth="29040" windowHeight="15720" tabRatio="829" activeTab="4" xr2:uid="{00000000-000D-0000-FFFF-FFFF00000000}"/>
  </bookViews>
  <sheets>
    <sheet name="日当整理表（農・維）" sheetId="1" r:id="rId1"/>
    <sheet name="法人一覧" sheetId="5" r:id="rId2"/>
    <sheet name="Sheet11" sheetId="15" state="hidden" r:id="rId3"/>
    <sheet name="2.藤井" sheetId="16" r:id="rId4"/>
    <sheet name="阿部正隆" sheetId="39" r:id="rId5"/>
    <sheet name="斉木忠義" sheetId="38" r:id="rId6"/>
    <sheet name="下管理組合" sheetId="28" r:id="rId7"/>
    <sheet name="一覧" sheetId="37" r:id="rId8"/>
    <sheet name="元表" sheetId="24" r:id="rId9"/>
  </sheets>
  <definedNames>
    <definedName name="_xlnm.Print_Area" localSheetId="3">'2.藤井'!$A$2:$AC$36</definedName>
    <definedName name="_xlnm.Print_Area" localSheetId="4">阿部正隆!$A$2:$AA$43</definedName>
    <definedName name="_xlnm.Print_Area" localSheetId="7">一覧!$A$2:$O$17</definedName>
    <definedName name="_xlnm.Print_Area" localSheetId="6">下管理組合!$A$2:$U$45</definedName>
    <definedName name="_xlnm.Print_Area" localSheetId="5">斉木忠義!$A$2:$AC$36</definedName>
    <definedName name="_xlnm.Print_Area" localSheetId="0">'日当整理表（農・維）'!$A$1:$S$19</definedName>
    <definedName name="_xlnm.Print_Area" localSheetId="1">法人一覧!$A$72:$AF$149</definedName>
  </definedNames>
  <calcPr calcId="191029"/>
</workbook>
</file>

<file path=xl/calcChain.xml><?xml version="1.0" encoding="utf-8"?>
<calcChain xmlns="http://schemas.openxmlformats.org/spreadsheetml/2006/main">
  <c r="D4" i="37" l="1"/>
  <c r="M31" i="39"/>
  <c r="N31" i="39"/>
  <c r="O31" i="39"/>
  <c r="P31" i="39"/>
  <c r="Q31" i="39"/>
  <c r="R31" i="39"/>
  <c r="S31" i="39"/>
  <c r="T31" i="39"/>
  <c r="U31" i="39"/>
  <c r="V31" i="39"/>
  <c r="D8" i="37"/>
  <c r="N14" i="1"/>
  <c r="D14" i="37"/>
  <c r="Y33" i="16"/>
  <c r="M31" i="38"/>
  <c r="L31" i="38"/>
  <c r="K31" i="38"/>
  <c r="J31" i="38"/>
  <c r="I31" i="38"/>
  <c r="H31" i="38"/>
  <c r="G31" i="38"/>
  <c r="F31" i="38"/>
  <c r="E31" i="38"/>
  <c r="D31" i="38"/>
  <c r="K17" i="38"/>
  <c r="J17" i="38"/>
  <c r="I17" i="38"/>
  <c r="H17" i="38"/>
  <c r="G17" i="38"/>
  <c r="F17" i="38"/>
  <c r="E17" i="38"/>
  <c r="D17" i="38"/>
  <c r="Z16" i="38"/>
  <c r="Z15" i="38"/>
  <c r="Z14" i="38"/>
  <c r="Z13" i="38"/>
  <c r="Z12" i="38"/>
  <c r="P40" i="28"/>
  <c r="R34" i="28"/>
  <c r="L31" i="39"/>
  <c r="K31" i="39"/>
  <c r="J31" i="39"/>
  <c r="I31" i="39"/>
  <c r="H31" i="39"/>
  <c r="G31" i="39"/>
  <c r="F31" i="39"/>
  <c r="E31" i="39"/>
  <c r="D31" i="39"/>
  <c r="Z30" i="39"/>
  <c r="Z29" i="39"/>
  <c r="Z28" i="39"/>
  <c r="Z27" i="39"/>
  <c r="Z26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Z16" i="39"/>
  <c r="Z15" i="39"/>
  <c r="Z14" i="39"/>
  <c r="Z13" i="39"/>
  <c r="Z12" i="39"/>
  <c r="Z30" i="16"/>
  <c r="Z29" i="16"/>
  <c r="Z28" i="16"/>
  <c r="Z27" i="16"/>
  <c r="Z26" i="16"/>
  <c r="Z16" i="16"/>
  <c r="J17" i="16"/>
  <c r="K17" i="16"/>
  <c r="R17" i="16"/>
  <c r="S17" i="16"/>
  <c r="D17" i="16"/>
  <c r="Z15" i="16"/>
  <c r="Z14" i="16"/>
  <c r="Z13" i="16"/>
  <c r="E17" i="16"/>
  <c r="F17" i="16"/>
  <c r="G17" i="16"/>
  <c r="H17" i="16"/>
  <c r="I17" i="16"/>
  <c r="L17" i="16"/>
  <c r="M17" i="16"/>
  <c r="N17" i="16"/>
  <c r="O17" i="16"/>
  <c r="P17" i="16"/>
  <c r="Q17" i="16"/>
  <c r="T17" i="16"/>
  <c r="U17" i="16"/>
  <c r="V17" i="16"/>
  <c r="W17" i="16"/>
  <c r="Z12" i="16"/>
  <c r="D31" i="16"/>
  <c r="E31" i="16"/>
  <c r="F31" i="16"/>
  <c r="G31" i="16"/>
  <c r="H31" i="16"/>
  <c r="I31" i="16"/>
  <c r="J31" i="16"/>
  <c r="K31" i="16"/>
  <c r="L31" i="16"/>
  <c r="M31" i="16"/>
  <c r="AC123" i="5"/>
  <c r="AC124" i="5"/>
  <c r="AB121" i="5"/>
  <c r="Y138" i="5"/>
  <c r="Z138" i="5"/>
  <c r="U139" i="5"/>
  <c r="AB139" i="5"/>
  <c r="L140" i="5"/>
  <c r="S140" i="5"/>
  <c r="AB140" i="5"/>
  <c r="I141" i="5"/>
  <c r="N141" i="5"/>
  <c r="Z141" i="5"/>
  <c r="AA141" i="5"/>
  <c r="AB141" i="5"/>
  <c r="H142" i="5"/>
  <c r="K142" i="5"/>
  <c r="L142" i="5"/>
  <c r="T142" i="5"/>
  <c r="U142" i="5"/>
  <c r="AB142" i="5"/>
  <c r="F143" i="5"/>
  <c r="J143" i="5"/>
  <c r="M143" i="5"/>
  <c r="N143" i="5"/>
  <c r="R143" i="5"/>
  <c r="U143" i="5"/>
  <c r="V143" i="5"/>
  <c r="Z143" i="5"/>
  <c r="AB143" i="5"/>
  <c r="E141" i="5"/>
  <c r="AC112" i="5"/>
  <c r="AC111" i="5"/>
  <c r="AC110" i="5"/>
  <c r="AC109" i="5"/>
  <c r="AC108" i="5"/>
  <c r="AB106" i="5"/>
  <c r="F15" i="37"/>
  <c r="F33" i="28"/>
  <c r="G33" i="28"/>
  <c r="H33" i="28"/>
  <c r="I33" i="28"/>
  <c r="J33" i="28"/>
  <c r="K33" i="28"/>
  <c r="L33" i="28"/>
  <c r="M33" i="28"/>
  <c r="N33" i="28"/>
  <c r="O33" i="28"/>
  <c r="E33" i="28"/>
  <c r="K10" i="37"/>
  <c r="K7" i="37"/>
  <c r="K15" i="37" s="1"/>
  <c r="F130" i="5"/>
  <c r="F138" i="5" s="1"/>
  <c r="G130" i="5"/>
  <c r="H130" i="5"/>
  <c r="I130" i="5"/>
  <c r="J130" i="5"/>
  <c r="K130" i="5"/>
  <c r="L130" i="5"/>
  <c r="M130" i="5"/>
  <c r="N130" i="5"/>
  <c r="N138" i="5" s="1"/>
  <c r="O130" i="5"/>
  <c r="P130" i="5"/>
  <c r="Q130" i="5"/>
  <c r="R130" i="5"/>
  <c r="R138" i="5" s="1"/>
  <c r="S130" i="5"/>
  <c r="T130" i="5"/>
  <c r="U130" i="5"/>
  <c r="V130" i="5"/>
  <c r="W130" i="5"/>
  <c r="X130" i="5"/>
  <c r="Y130" i="5"/>
  <c r="Z130" i="5"/>
  <c r="AA130" i="5"/>
  <c r="F131" i="5"/>
  <c r="G131" i="5"/>
  <c r="H131" i="5"/>
  <c r="H139" i="5" s="1"/>
  <c r="I131" i="5"/>
  <c r="J131" i="5"/>
  <c r="K131" i="5"/>
  <c r="L131" i="5"/>
  <c r="M131" i="5"/>
  <c r="N131" i="5"/>
  <c r="O131" i="5"/>
  <c r="O139" i="5" s="1"/>
  <c r="P131" i="5"/>
  <c r="Q131" i="5"/>
  <c r="R131" i="5"/>
  <c r="S131" i="5"/>
  <c r="T131" i="5"/>
  <c r="U131" i="5"/>
  <c r="V131" i="5"/>
  <c r="W131" i="5"/>
  <c r="X131" i="5"/>
  <c r="Y131" i="5"/>
  <c r="Z131" i="5"/>
  <c r="AA131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Q140" i="5" s="1"/>
  <c r="R132" i="5"/>
  <c r="S132" i="5"/>
  <c r="T132" i="5"/>
  <c r="U132" i="5"/>
  <c r="V132" i="5"/>
  <c r="W132" i="5"/>
  <c r="X132" i="5"/>
  <c r="Y132" i="5"/>
  <c r="Y140" i="5" s="1"/>
  <c r="Z132" i="5"/>
  <c r="AA132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E132" i="5"/>
  <c r="E133" i="5"/>
  <c r="E134" i="5"/>
  <c r="E135" i="5"/>
  <c r="E131" i="5"/>
  <c r="E139" i="5" s="1"/>
  <c r="E130" i="5"/>
  <c r="F57" i="5"/>
  <c r="G57" i="5"/>
  <c r="H57" i="5"/>
  <c r="I57" i="5"/>
  <c r="I139" i="5" s="1"/>
  <c r="J57" i="5"/>
  <c r="K57" i="5"/>
  <c r="K139" i="5" s="1"/>
  <c r="L57" i="5"/>
  <c r="L139" i="5" s="1"/>
  <c r="M57" i="5"/>
  <c r="M139" i="5" s="1"/>
  <c r="N57" i="5"/>
  <c r="N139" i="5" s="1"/>
  <c r="O57" i="5"/>
  <c r="P57" i="5"/>
  <c r="Q57" i="5"/>
  <c r="R57" i="5"/>
  <c r="R139" i="5" s="1"/>
  <c r="S57" i="5"/>
  <c r="T57" i="5"/>
  <c r="T139" i="5" s="1"/>
  <c r="U57" i="5"/>
  <c r="V57" i="5"/>
  <c r="W57" i="5"/>
  <c r="X57" i="5"/>
  <c r="X139" i="5" s="1"/>
  <c r="Y57" i="5"/>
  <c r="Y139" i="5" s="1"/>
  <c r="Z57" i="5"/>
  <c r="Z139" i="5" s="1"/>
  <c r="AA57" i="5"/>
  <c r="AA139" i="5" s="1"/>
  <c r="F58" i="5"/>
  <c r="G58" i="5"/>
  <c r="H58" i="5"/>
  <c r="I58" i="5"/>
  <c r="I140" i="5" s="1"/>
  <c r="J58" i="5"/>
  <c r="K58" i="5"/>
  <c r="L58" i="5"/>
  <c r="M58" i="5"/>
  <c r="M140" i="5" s="1"/>
  <c r="N58" i="5"/>
  <c r="O58" i="5"/>
  <c r="O140" i="5" s="1"/>
  <c r="P58" i="5"/>
  <c r="P140" i="5" s="1"/>
  <c r="Q58" i="5"/>
  <c r="R58" i="5"/>
  <c r="R140" i="5" s="1"/>
  <c r="S58" i="5"/>
  <c r="T58" i="5"/>
  <c r="T140" i="5" s="1"/>
  <c r="U58" i="5"/>
  <c r="U140" i="5" s="1"/>
  <c r="V58" i="5"/>
  <c r="W58" i="5"/>
  <c r="X58" i="5"/>
  <c r="Y58" i="5"/>
  <c r="Z58" i="5"/>
  <c r="Z140" i="5" s="1"/>
  <c r="AA58" i="5"/>
  <c r="AA140" i="5" s="1"/>
  <c r="F59" i="5"/>
  <c r="F141" i="5" s="1"/>
  <c r="G59" i="5"/>
  <c r="G141" i="5" s="1"/>
  <c r="H59" i="5"/>
  <c r="H141" i="5" s="1"/>
  <c r="I59" i="5"/>
  <c r="J59" i="5"/>
  <c r="J141" i="5" s="1"/>
  <c r="K59" i="5"/>
  <c r="K141" i="5" s="1"/>
  <c r="L59" i="5"/>
  <c r="L141" i="5" s="1"/>
  <c r="M59" i="5"/>
  <c r="M141" i="5" s="1"/>
  <c r="N59" i="5"/>
  <c r="O59" i="5"/>
  <c r="P59" i="5"/>
  <c r="P141" i="5" s="1"/>
  <c r="Q59" i="5"/>
  <c r="Q141" i="5" s="1"/>
  <c r="R59" i="5"/>
  <c r="S59" i="5"/>
  <c r="T59" i="5"/>
  <c r="T141" i="5" s="1"/>
  <c r="U59" i="5"/>
  <c r="U141" i="5" s="1"/>
  <c r="V59" i="5"/>
  <c r="W59" i="5"/>
  <c r="X59" i="5"/>
  <c r="Y59" i="5"/>
  <c r="Y141" i="5" s="1"/>
  <c r="Z59" i="5"/>
  <c r="AA59" i="5"/>
  <c r="F60" i="5"/>
  <c r="F142" i="5" s="1"/>
  <c r="G60" i="5"/>
  <c r="G142" i="5" s="1"/>
  <c r="H60" i="5"/>
  <c r="I60" i="5"/>
  <c r="I142" i="5" s="1"/>
  <c r="J60" i="5"/>
  <c r="J142" i="5" s="1"/>
  <c r="K60" i="5"/>
  <c r="L60" i="5"/>
  <c r="M60" i="5"/>
  <c r="M142" i="5" s="1"/>
  <c r="N60" i="5"/>
  <c r="N142" i="5" s="1"/>
  <c r="O60" i="5"/>
  <c r="O142" i="5" s="1"/>
  <c r="P60" i="5"/>
  <c r="Q60" i="5"/>
  <c r="Q142" i="5" s="1"/>
  <c r="R60" i="5"/>
  <c r="R142" i="5" s="1"/>
  <c r="S60" i="5"/>
  <c r="S142" i="5" s="1"/>
  <c r="T60" i="5"/>
  <c r="U60" i="5"/>
  <c r="V60" i="5"/>
  <c r="V142" i="5" s="1"/>
  <c r="W60" i="5"/>
  <c r="W142" i="5" s="1"/>
  <c r="X60" i="5"/>
  <c r="X142" i="5" s="1"/>
  <c r="Y60" i="5"/>
  <c r="Y142" i="5" s="1"/>
  <c r="Z60" i="5"/>
  <c r="Z142" i="5" s="1"/>
  <c r="AA60" i="5"/>
  <c r="AA142" i="5" s="1"/>
  <c r="F61" i="5"/>
  <c r="G61" i="5"/>
  <c r="G143" i="5" s="1"/>
  <c r="H61" i="5"/>
  <c r="H143" i="5" s="1"/>
  <c r="I61" i="5"/>
  <c r="I143" i="5" s="1"/>
  <c r="J61" i="5"/>
  <c r="K61" i="5"/>
  <c r="K143" i="5" s="1"/>
  <c r="L61" i="5"/>
  <c r="L143" i="5" s="1"/>
  <c r="M61" i="5"/>
  <c r="N61" i="5"/>
  <c r="O61" i="5"/>
  <c r="O143" i="5" s="1"/>
  <c r="P61" i="5"/>
  <c r="P143" i="5" s="1"/>
  <c r="Q61" i="5"/>
  <c r="Q143" i="5" s="1"/>
  <c r="R61" i="5"/>
  <c r="S61" i="5"/>
  <c r="S143" i="5" s="1"/>
  <c r="T61" i="5"/>
  <c r="T143" i="5" s="1"/>
  <c r="U61" i="5"/>
  <c r="V61" i="5"/>
  <c r="W61" i="5"/>
  <c r="W143" i="5" s="1"/>
  <c r="X61" i="5"/>
  <c r="X143" i="5" s="1"/>
  <c r="Y61" i="5"/>
  <c r="Y143" i="5" s="1"/>
  <c r="Z61" i="5"/>
  <c r="AA61" i="5"/>
  <c r="AA143" i="5" s="1"/>
  <c r="E58" i="5"/>
  <c r="E59" i="5"/>
  <c r="E60" i="5"/>
  <c r="E142" i="5" s="1"/>
  <c r="E61" i="5"/>
  <c r="E143" i="5" s="1"/>
  <c r="E57" i="5"/>
  <c r="Z56" i="5"/>
  <c r="AA56" i="5"/>
  <c r="AA138" i="5" s="1"/>
  <c r="W56" i="5"/>
  <c r="W138" i="5" s="1"/>
  <c r="X56" i="5"/>
  <c r="Y56" i="5"/>
  <c r="G56" i="5"/>
  <c r="H56" i="5"/>
  <c r="I56" i="5"/>
  <c r="I138" i="5" s="1"/>
  <c r="J56" i="5"/>
  <c r="K56" i="5"/>
  <c r="K138" i="5" s="1"/>
  <c r="L56" i="5"/>
  <c r="L138" i="5" s="1"/>
  <c r="M56" i="5"/>
  <c r="M138" i="5" s="1"/>
  <c r="N56" i="5"/>
  <c r="O56" i="5"/>
  <c r="P56" i="5"/>
  <c r="Q56" i="5"/>
  <c r="R56" i="5"/>
  <c r="S56" i="5"/>
  <c r="T56" i="5"/>
  <c r="T138" i="5" s="1"/>
  <c r="U56" i="5"/>
  <c r="U138" i="5" s="1"/>
  <c r="V56" i="5"/>
  <c r="F56" i="5"/>
  <c r="E56" i="5"/>
  <c r="AD145" i="5"/>
  <c r="T44" i="28"/>
  <c r="J10" i="37"/>
  <c r="J7" i="37"/>
  <c r="R35" i="28"/>
  <c r="H10" i="37"/>
  <c r="H7" i="37"/>
  <c r="AG68" i="24"/>
  <c r="Y34" i="16" l="1"/>
  <c r="Y35" i="16" s="1"/>
  <c r="R141" i="5"/>
  <c r="P139" i="5"/>
  <c r="S141" i="5"/>
  <c r="V138" i="5"/>
  <c r="J138" i="5"/>
  <c r="W140" i="5"/>
  <c r="G140" i="5"/>
  <c r="S138" i="5"/>
  <c r="AD123" i="5"/>
  <c r="F140" i="5"/>
  <c r="W139" i="5"/>
  <c r="O141" i="5"/>
  <c r="S139" i="5"/>
  <c r="Q138" i="5"/>
  <c r="X141" i="5"/>
  <c r="V140" i="5"/>
  <c r="P142" i="5"/>
  <c r="V141" i="5"/>
  <c r="X138" i="5"/>
  <c r="P138" i="5"/>
  <c r="H138" i="5"/>
  <c r="E140" i="5"/>
  <c r="N140" i="5"/>
  <c r="E138" i="5"/>
  <c r="K140" i="5"/>
  <c r="Q139" i="5"/>
  <c r="O138" i="5"/>
  <c r="X140" i="5"/>
  <c r="H140" i="5"/>
  <c r="V139" i="5"/>
  <c r="Y33" i="38"/>
  <c r="Y34" i="38"/>
  <c r="Z17" i="38"/>
  <c r="R33" i="28"/>
  <c r="Z31" i="39"/>
  <c r="Y34" i="39"/>
  <c r="Y33" i="39"/>
  <c r="Z17" i="39"/>
  <c r="Z17" i="16"/>
  <c r="Z31" i="16"/>
  <c r="W141" i="5"/>
  <c r="J140" i="5"/>
  <c r="J139" i="5"/>
  <c r="G138" i="5"/>
  <c r="G139" i="5"/>
  <c r="F139" i="5"/>
  <c r="AD108" i="5"/>
  <c r="H15" i="37"/>
  <c r="P14" i="1"/>
  <c r="J15" i="37"/>
  <c r="G15" i="37"/>
  <c r="Y35" i="38" l="1"/>
  <c r="D11" i="37" s="1"/>
  <c r="Y35" i="39"/>
  <c r="R28" i="28"/>
  <c r="R27" i="28"/>
  <c r="R23" i="28"/>
  <c r="R18" i="28"/>
  <c r="R17" i="28"/>
  <c r="R13" i="28"/>
  <c r="R12" i="28"/>
  <c r="AB48" i="5"/>
  <c r="AC99" i="5"/>
  <c r="AC98" i="5"/>
  <c r="AC97" i="5"/>
  <c r="AC96" i="5"/>
  <c r="AC95" i="5"/>
  <c r="AB93" i="5"/>
  <c r="AC86" i="5"/>
  <c r="AC85" i="5"/>
  <c r="AC84" i="5"/>
  <c r="AC83" i="5"/>
  <c r="AC82" i="5"/>
  <c r="AB80" i="5"/>
  <c r="AB35" i="5"/>
  <c r="AB22" i="5"/>
  <c r="AB9" i="5"/>
  <c r="AC54" i="5"/>
  <c r="AC53" i="5"/>
  <c r="AC52" i="5"/>
  <c r="AC51" i="5"/>
  <c r="AC50" i="5"/>
  <c r="AC41" i="5"/>
  <c r="AC40" i="5"/>
  <c r="AC39" i="5"/>
  <c r="AC38" i="5"/>
  <c r="AC37" i="5"/>
  <c r="AC28" i="5"/>
  <c r="AC27" i="5"/>
  <c r="AC26" i="5"/>
  <c r="AC25" i="5"/>
  <c r="AC24" i="5"/>
  <c r="AE65" i="24"/>
  <c r="AE64" i="24"/>
  <c r="AE63" i="24"/>
  <c r="AE62" i="24"/>
  <c r="AE61" i="24"/>
  <c r="AF61" i="24" s="1"/>
  <c r="AE60" i="24"/>
  <c r="AF56" i="24" s="1"/>
  <c r="AE59" i="24"/>
  <c r="AE58" i="24"/>
  <c r="AE57" i="24"/>
  <c r="AE56" i="24"/>
  <c r="AE55" i="24"/>
  <c r="AE54" i="24"/>
  <c r="AE53" i="24"/>
  <c r="AE52" i="24"/>
  <c r="AE51" i="24"/>
  <c r="AE50" i="24"/>
  <c r="AE49" i="24"/>
  <c r="AE48" i="24"/>
  <c r="AE47" i="24"/>
  <c r="AE46" i="24"/>
  <c r="AF46" i="24" s="1"/>
  <c r="AE45" i="24"/>
  <c r="AE44" i="24"/>
  <c r="AF41" i="24" s="1"/>
  <c r="AE43" i="24"/>
  <c r="AE42" i="24"/>
  <c r="AE41" i="24"/>
  <c r="AE40" i="24"/>
  <c r="AE39" i="24"/>
  <c r="AE38" i="24"/>
  <c r="AE37" i="24"/>
  <c r="AE36" i="24"/>
  <c r="AE35" i="24"/>
  <c r="AE34" i="24"/>
  <c r="AE33" i="24"/>
  <c r="AE32" i="24"/>
  <c r="AE31" i="24"/>
  <c r="AE30" i="24"/>
  <c r="AE29" i="24"/>
  <c r="AF26" i="24" s="1"/>
  <c r="AE28" i="24"/>
  <c r="AE27" i="24"/>
  <c r="AE26" i="24"/>
  <c r="AE25" i="24"/>
  <c r="AE24" i="24"/>
  <c r="AE23" i="24"/>
  <c r="AE22" i="24"/>
  <c r="AE21" i="24"/>
  <c r="AF21" i="24" s="1"/>
  <c r="AE20" i="24"/>
  <c r="AE19" i="24"/>
  <c r="AE18" i="24"/>
  <c r="AE17" i="24"/>
  <c r="AE16" i="24"/>
  <c r="AE15" i="24"/>
  <c r="AE14" i="24"/>
  <c r="AE13" i="24"/>
  <c r="AE12" i="24"/>
  <c r="AE11" i="24"/>
  <c r="AE65" i="15"/>
  <c r="AE64" i="15"/>
  <c r="AE63" i="15"/>
  <c r="AE62" i="15"/>
  <c r="AE61" i="15"/>
  <c r="AF61" i="15" s="1"/>
  <c r="AE60" i="15"/>
  <c r="AF56" i="15" s="1"/>
  <c r="AE59" i="15"/>
  <c r="AE58" i="15"/>
  <c r="AE57" i="15"/>
  <c r="AE56" i="15"/>
  <c r="AE55" i="15"/>
  <c r="AE54" i="15"/>
  <c r="AE53" i="15"/>
  <c r="AE52" i="15"/>
  <c r="AE51" i="15"/>
  <c r="AE50" i="15"/>
  <c r="AE49" i="15"/>
  <c r="AE48" i="15"/>
  <c r="AE47" i="15"/>
  <c r="AE46" i="15"/>
  <c r="AF46" i="15" s="1"/>
  <c r="AE45" i="15"/>
  <c r="AE44" i="15"/>
  <c r="AE43" i="15"/>
  <c r="AE42" i="15"/>
  <c r="AE41" i="15"/>
  <c r="AF41" i="15" s="1"/>
  <c r="AE40" i="15"/>
  <c r="AE39" i="15"/>
  <c r="AE38" i="15"/>
  <c r="AE37" i="15"/>
  <c r="AE36" i="15"/>
  <c r="AE35" i="15"/>
  <c r="AE34" i="15"/>
  <c r="AE33" i="15"/>
  <c r="AE32" i="15"/>
  <c r="AE31" i="15"/>
  <c r="AF31" i="15" s="1"/>
  <c r="AE30" i="15"/>
  <c r="AE29" i="15"/>
  <c r="AE28" i="15"/>
  <c r="AE27" i="15"/>
  <c r="AF26" i="15" s="1"/>
  <c r="AE26" i="15"/>
  <c r="AE25" i="15"/>
  <c r="AE24" i="15"/>
  <c r="AE23" i="15"/>
  <c r="AE22" i="15"/>
  <c r="AE21" i="15"/>
  <c r="AF21" i="15" s="1"/>
  <c r="AE20" i="15"/>
  <c r="AE19" i="15"/>
  <c r="AE18" i="15"/>
  <c r="AE17" i="15"/>
  <c r="AE16" i="15"/>
  <c r="AF16" i="15" s="1"/>
  <c r="AE15" i="15"/>
  <c r="AE14" i="15"/>
  <c r="AE13" i="15"/>
  <c r="AE12" i="15"/>
  <c r="AE11" i="15"/>
  <c r="AC15" i="5"/>
  <c r="AC14" i="5"/>
  <c r="AC13" i="5"/>
  <c r="AC12" i="5"/>
  <c r="AC11" i="5"/>
  <c r="S12" i="28" l="1"/>
  <c r="T40" i="28"/>
  <c r="S22" i="28"/>
  <c r="P15" i="1"/>
  <c r="AE145" i="5"/>
  <c r="AE147" i="5"/>
  <c r="AF36" i="15"/>
  <c r="AF31" i="24"/>
  <c r="AF11" i="15"/>
  <c r="AF36" i="24"/>
  <c r="AF11" i="24"/>
  <c r="N14" i="37"/>
  <c r="AF16" i="24"/>
  <c r="AF51" i="15"/>
  <c r="AF51" i="24"/>
  <c r="AE146" i="5"/>
  <c r="AC135" i="5"/>
  <c r="AC61" i="5"/>
  <c r="AC143" i="5" s="1"/>
  <c r="N16" i="1"/>
  <c r="S27" i="28"/>
  <c r="S17" i="28"/>
  <c r="AB56" i="5"/>
  <c r="AB130" i="5"/>
  <c r="AC60" i="5"/>
  <c r="AC134" i="5"/>
  <c r="AC133" i="5"/>
  <c r="AC131" i="5"/>
  <c r="M12" i="1" s="1"/>
  <c r="AC132" i="5"/>
  <c r="AC57" i="5"/>
  <c r="AC139" i="5" s="1"/>
  <c r="AC59" i="5"/>
  <c r="AC58" i="5"/>
  <c r="N13" i="37"/>
  <c r="N12" i="37"/>
  <c r="N10" i="37"/>
  <c r="N11" i="37"/>
  <c r="AD95" i="5"/>
  <c r="N9" i="37" s="1"/>
  <c r="AD50" i="5"/>
  <c r="N7" i="37" s="1"/>
  <c r="AD37" i="5"/>
  <c r="N6" i="37" s="1"/>
  <c r="AD24" i="5"/>
  <c r="N5" i="37" s="1"/>
  <c r="AD82" i="5"/>
  <c r="N8" i="37" s="1"/>
  <c r="AD11" i="5"/>
  <c r="N4" i="37" s="1"/>
  <c r="AC142" i="5" l="1"/>
  <c r="AC140" i="5"/>
  <c r="AC141" i="5"/>
  <c r="AB138" i="5"/>
  <c r="M16" i="1"/>
  <c r="P16" i="1" s="1"/>
  <c r="S33" i="28"/>
  <c r="T42" i="28" s="1"/>
  <c r="N15" i="37"/>
  <c r="N11" i="1"/>
  <c r="AD57" i="5"/>
  <c r="AD131" i="5"/>
  <c r="M11" i="1"/>
  <c r="AD71" i="5"/>
  <c r="I6" i="37"/>
  <c r="P13" i="1"/>
  <c r="N12" i="1"/>
  <c r="P12" i="1" s="1"/>
  <c r="G18" i="1"/>
  <c r="AE71" i="5"/>
  <c r="AE150" i="5"/>
  <c r="I11" i="37" l="1"/>
  <c r="I7" i="37"/>
  <c r="I10" i="37"/>
  <c r="P11" i="1"/>
  <c r="AG2" i="5"/>
  <c r="AG4" i="5" s="1"/>
  <c r="D15" i="37"/>
  <c r="AE152" i="5"/>
  <c r="M18" i="1"/>
  <c r="N18" i="1"/>
  <c r="I15" i="37" l="1"/>
  <c r="P18" i="1"/>
</calcChain>
</file>

<file path=xl/sharedStrings.xml><?xml version="1.0" encoding="utf-8"?>
<sst xmlns="http://schemas.openxmlformats.org/spreadsheetml/2006/main" count="1295" uniqueCount="293">
  <si>
    <t>活動日時</t>
    <rPh sb="0" eb="2">
      <t>カツドウ</t>
    </rPh>
    <rPh sb="2" eb="4">
      <t>ニチジ</t>
    </rPh>
    <phoneticPr fontId="1"/>
  </si>
  <si>
    <t>参加者数</t>
    <rPh sb="0" eb="3">
      <t>サンカシャ</t>
    </rPh>
    <rPh sb="3" eb="4">
      <t>スウ</t>
    </rPh>
    <phoneticPr fontId="1"/>
  </si>
  <si>
    <t>氏名</t>
    <rPh sb="0" eb="2">
      <t>シメイ</t>
    </rPh>
    <phoneticPr fontId="1"/>
  </si>
  <si>
    <t>作業時間帯</t>
    <rPh sb="0" eb="2">
      <t>サギョウ</t>
    </rPh>
    <rPh sb="2" eb="5">
      <t>ジカンタイ</t>
    </rPh>
    <phoneticPr fontId="1"/>
  </si>
  <si>
    <t>～</t>
    <phoneticPr fontId="1"/>
  </si>
  <si>
    <t>実働時間</t>
    <rPh sb="0" eb="2">
      <t>ジツドウ</t>
    </rPh>
    <rPh sb="2" eb="4">
      <t>ジカン</t>
    </rPh>
    <phoneticPr fontId="1"/>
  </si>
  <si>
    <t>借用機材</t>
    <rPh sb="0" eb="2">
      <t>シャクヨウ</t>
    </rPh>
    <rPh sb="2" eb="4">
      <t>キザイ</t>
    </rPh>
    <phoneticPr fontId="1"/>
  </si>
  <si>
    <t>日当</t>
    <rPh sb="0" eb="2">
      <t>ニットウ</t>
    </rPh>
    <phoneticPr fontId="1"/>
  </si>
  <si>
    <t>機械経費</t>
    <rPh sb="0" eb="2">
      <t>キカイ</t>
    </rPh>
    <rPh sb="2" eb="4">
      <t>ケイヒ</t>
    </rPh>
    <phoneticPr fontId="1"/>
  </si>
  <si>
    <t>合計</t>
    <rPh sb="0" eb="2">
      <t>ゴウケイ</t>
    </rPh>
    <phoneticPr fontId="1"/>
  </si>
  <si>
    <t>その他</t>
    <rPh sb="2" eb="3">
      <t>タ</t>
    </rPh>
    <phoneticPr fontId="1"/>
  </si>
  <si>
    <t>領収印</t>
    <rPh sb="0" eb="2">
      <t>リョウシュウ</t>
    </rPh>
    <rPh sb="2" eb="3">
      <t>イン</t>
    </rPh>
    <phoneticPr fontId="1"/>
  </si>
  <si>
    <t>軽トラ</t>
    <rPh sb="0" eb="1">
      <t>ケイ</t>
    </rPh>
    <phoneticPr fontId="1"/>
  </si>
  <si>
    <t>草刈機</t>
    <rPh sb="0" eb="3">
      <t>クサカリキ</t>
    </rPh>
    <phoneticPr fontId="1"/>
  </si>
  <si>
    <t>○</t>
    <phoneticPr fontId="1"/>
  </si>
  <si>
    <t>活動内容</t>
    <rPh sb="0" eb="2">
      <t>カツドウ</t>
    </rPh>
    <rPh sb="2" eb="4">
      <t>ナイヨウ</t>
    </rPh>
    <phoneticPr fontId="1"/>
  </si>
  <si>
    <t>：</t>
    <phoneticPr fontId="1"/>
  </si>
  <si>
    <t>：</t>
    <phoneticPr fontId="1"/>
  </si>
  <si>
    <t>参加者一覧　兼　領収印</t>
    <rPh sb="0" eb="3">
      <t>サンカシャ</t>
    </rPh>
    <rPh sb="3" eb="5">
      <t>イチラン</t>
    </rPh>
    <rPh sb="6" eb="7">
      <t>ケン</t>
    </rPh>
    <rPh sb="8" eb="10">
      <t>リョウシュウ</t>
    </rPh>
    <rPh sb="10" eb="11">
      <t>ジルシ</t>
    </rPh>
    <phoneticPr fontId="1"/>
  </si>
  <si>
    <t>参加者一覧　兼　領収印</t>
    <rPh sb="0" eb="3">
      <t>サンカシャ</t>
    </rPh>
    <rPh sb="3" eb="5">
      <t>イチラン</t>
    </rPh>
    <rPh sb="6" eb="7">
      <t>ケン</t>
    </rPh>
    <rPh sb="8" eb="10">
      <t>リョウシュウ</t>
    </rPh>
    <rPh sb="10" eb="11">
      <t>イン</t>
    </rPh>
    <phoneticPr fontId="1"/>
  </si>
  <si>
    <t>領　収　印</t>
    <rPh sb="0" eb="1">
      <t>リョウ</t>
    </rPh>
    <rPh sb="2" eb="3">
      <t>オサム</t>
    </rPh>
    <rPh sb="4" eb="5">
      <t>イン</t>
    </rPh>
    <phoneticPr fontId="1"/>
  </si>
  <si>
    <t>合　計</t>
    <rPh sb="0" eb="1">
      <t>ゴウ</t>
    </rPh>
    <rPh sb="2" eb="3">
      <t>ケイ</t>
    </rPh>
    <phoneticPr fontId="1"/>
  </si>
  <si>
    <t>小　計</t>
    <rPh sb="0" eb="1">
      <t>ショウ</t>
    </rPh>
    <rPh sb="2" eb="3">
      <t>ケイ</t>
    </rPh>
    <phoneticPr fontId="1"/>
  </si>
  <si>
    <t>氏　名</t>
    <rPh sb="0" eb="1">
      <t>シ</t>
    </rPh>
    <rPh sb="2" eb="3">
      <t>メイ</t>
    </rPh>
    <phoneticPr fontId="1"/>
  </si>
  <si>
    <t>時 間 帯</t>
    <rPh sb="0" eb="1">
      <t>トキ</t>
    </rPh>
    <rPh sb="2" eb="3">
      <t>アイダ</t>
    </rPh>
    <rPh sb="4" eb="5">
      <t>オビ</t>
    </rPh>
    <phoneticPr fontId="1"/>
  </si>
  <si>
    <t>日　  付</t>
    <rPh sb="0" eb="1">
      <t>ニチ</t>
    </rPh>
    <rPh sb="4" eb="5">
      <t>ツキ</t>
    </rPh>
    <phoneticPr fontId="1"/>
  </si>
  <si>
    <t>日　　　当</t>
    <rPh sb="0" eb="1">
      <t>ニチ</t>
    </rPh>
    <rPh sb="4" eb="5">
      <t>トウ</t>
    </rPh>
    <phoneticPr fontId="1"/>
  </si>
  <si>
    <t>軽トラック</t>
    <rPh sb="0" eb="1">
      <t>ケイ</t>
    </rPh>
    <phoneticPr fontId="1"/>
  </si>
  <si>
    <t>計</t>
    <rPh sb="0" eb="1">
      <t>ケイ</t>
    </rPh>
    <phoneticPr fontId="1"/>
  </si>
  <si>
    <t>草 刈 機</t>
    <rPh sb="0" eb="1">
      <t>ソウ</t>
    </rPh>
    <rPh sb="2" eb="3">
      <t>カリ</t>
    </rPh>
    <rPh sb="4" eb="5">
      <t>キ</t>
    </rPh>
    <phoneticPr fontId="1"/>
  </si>
  <si>
    <t>日当等整理帳</t>
    <rPh sb="0" eb="2">
      <t>ニットウ</t>
    </rPh>
    <rPh sb="2" eb="3">
      <t>トウ</t>
    </rPh>
    <rPh sb="3" eb="5">
      <t>セイリ</t>
    </rPh>
    <rPh sb="5" eb="6">
      <t>チョウ</t>
    </rPh>
    <phoneticPr fontId="1"/>
  </si>
  <si>
    <t>日当等整理表</t>
    <rPh sb="0" eb="2">
      <t>ニットウ</t>
    </rPh>
    <rPh sb="2" eb="3">
      <t>トウ</t>
    </rPh>
    <rPh sb="3" eb="5">
      <t>セイリ</t>
    </rPh>
    <rPh sb="5" eb="6">
      <t>ヒョウ</t>
    </rPh>
    <phoneticPr fontId="1"/>
  </si>
  <si>
    <t xml:space="preserve"> NO.</t>
    <phoneticPr fontId="1"/>
  </si>
  <si>
    <t>斉木　裕司</t>
    <rPh sb="0" eb="2">
      <t>サイキ</t>
    </rPh>
    <rPh sb="3" eb="5">
      <t>ユウジ</t>
    </rPh>
    <phoneticPr fontId="1"/>
  </si>
  <si>
    <t>飛田　敬一</t>
    <rPh sb="0" eb="2">
      <t>トビタ</t>
    </rPh>
    <rPh sb="3" eb="5">
      <t>ケイイチ</t>
    </rPh>
    <phoneticPr fontId="1"/>
  </si>
  <si>
    <t>畦畔草刈機</t>
    <rPh sb="0" eb="1">
      <t>アゼ</t>
    </rPh>
    <rPh sb="1" eb="2">
      <t>アゼ</t>
    </rPh>
    <rPh sb="2" eb="4">
      <t>クサカ</t>
    </rPh>
    <rPh sb="4" eb="5">
      <t>キ</t>
    </rPh>
    <phoneticPr fontId="1"/>
  </si>
  <si>
    <t>法面草刈機</t>
    <rPh sb="0" eb="1">
      <t>ホウ</t>
    </rPh>
    <rPh sb="1" eb="2">
      <t>メン</t>
    </rPh>
    <rPh sb="2" eb="4">
      <t>クサカ</t>
    </rPh>
    <rPh sb="4" eb="5">
      <t>キ</t>
    </rPh>
    <phoneticPr fontId="1"/>
  </si>
  <si>
    <t>日当　　　　　：９７０円/時間</t>
    <rPh sb="0" eb="2">
      <t>ニットウ</t>
    </rPh>
    <rPh sb="11" eb="12">
      <t>エン</t>
    </rPh>
    <rPh sb="13" eb="15">
      <t>ジカン</t>
    </rPh>
    <phoneticPr fontId="1"/>
  </si>
  <si>
    <t>畦畔草刈機　：７５０円/時間</t>
    <rPh sb="0" eb="1">
      <t>アゼ</t>
    </rPh>
    <rPh sb="1" eb="2">
      <t>アゼ</t>
    </rPh>
    <rPh sb="2" eb="4">
      <t>クサカ</t>
    </rPh>
    <rPh sb="4" eb="5">
      <t>キ</t>
    </rPh>
    <rPh sb="10" eb="11">
      <t>エン</t>
    </rPh>
    <rPh sb="12" eb="14">
      <t>ジカン</t>
    </rPh>
    <phoneticPr fontId="1"/>
  </si>
  <si>
    <t>法面草刈機　：９３０円/時間</t>
    <rPh sb="0" eb="1">
      <t>ホウ</t>
    </rPh>
    <rPh sb="1" eb="2">
      <t>メン</t>
    </rPh>
    <rPh sb="2" eb="4">
      <t>クサカ</t>
    </rPh>
    <rPh sb="4" eb="5">
      <t>キ</t>
    </rPh>
    <rPh sb="10" eb="11">
      <t>エン</t>
    </rPh>
    <rPh sb="12" eb="14">
      <t>ジカン</t>
    </rPh>
    <phoneticPr fontId="1"/>
  </si>
  <si>
    <t>　　　　　（燃料費を含む）</t>
    <rPh sb="6" eb="8">
      <t>ネンリョウ</t>
    </rPh>
    <rPh sb="8" eb="9">
      <t>ヒ</t>
    </rPh>
    <rPh sb="10" eb="11">
      <t>フク</t>
    </rPh>
    <phoneticPr fontId="1"/>
  </si>
  <si>
    <t>嘉藤　茂</t>
    <rPh sb="0" eb="2">
      <t>カトウ</t>
    </rPh>
    <rPh sb="3" eb="4">
      <t>モ</t>
    </rPh>
    <phoneticPr fontId="1"/>
  </si>
  <si>
    <t>西谷　博厚</t>
    <rPh sb="0" eb="2">
      <t>ニシタニ</t>
    </rPh>
    <rPh sb="3" eb="4">
      <t>ヒロ</t>
    </rPh>
    <rPh sb="4" eb="5">
      <t>アツ</t>
    </rPh>
    <phoneticPr fontId="1"/>
  </si>
  <si>
    <t>穂刈　和利</t>
    <rPh sb="0" eb="2">
      <t>ホカリ</t>
    </rPh>
    <rPh sb="3" eb="5">
      <t>カズトシ</t>
    </rPh>
    <phoneticPr fontId="1"/>
  </si>
  <si>
    <t>草刈り</t>
    <rPh sb="0" eb="2">
      <t>クサカ</t>
    </rPh>
    <phoneticPr fontId="1"/>
  </si>
  <si>
    <t>農道・水路部分の草刈り作業</t>
    <rPh sb="0" eb="2">
      <t>ノウドウ</t>
    </rPh>
    <rPh sb="3" eb="5">
      <t>スイロ</t>
    </rPh>
    <rPh sb="5" eb="7">
      <t>ブブン</t>
    </rPh>
    <rPh sb="8" eb="10">
      <t>クサカ</t>
    </rPh>
    <rPh sb="11" eb="13">
      <t>サギョウ</t>
    </rPh>
    <phoneticPr fontId="1"/>
  </si>
  <si>
    <t>～</t>
    <phoneticPr fontId="1"/>
  </si>
  <si>
    <t xml:space="preserve"> </t>
    <phoneticPr fontId="1"/>
  </si>
  <si>
    <t>別紙作業表による</t>
    <rPh sb="0" eb="2">
      <t>ベッシ</t>
    </rPh>
    <rPh sb="2" eb="4">
      <t>サギョウ</t>
    </rPh>
    <rPh sb="4" eb="5">
      <t>ヒョウ</t>
    </rPh>
    <phoneticPr fontId="1"/>
  </si>
  <si>
    <t>別紙作業表による</t>
    <rPh sb="0" eb="2">
      <t>ベッシ</t>
    </rPh>
    <rPh sb="2" eb="4">
      <t>サギョウ</t>
    </rPh>
    <rPh sb="4" eb="5">
      <t>ヒョウ</t>
    </rPh>
    <phoneticPr fontId="1"/>
  </si>
  <si>
    <t>〃</t>
    <phoneticPr fontId="1"/>
  </si>
  <si>
    <t>畦畔草刈機</t>
    <rPh sb="0" eb="1">
      <t>アゼ</t>
    </rPh>
    <rPh sb="1" eb="2">
      <t>アゼ</t>
    </rPh>
    <rPh sb="2" eb="5">
      <t>クサカリキ</t>
    </rPh>
    <phoneticPr fontId="1"/>
  </si>
  <si>
    <t>○</t>
    <phoneticPr fontId="1"/>
  </si>
  <si>
    <t>（法）カマタ</t>
    <rPh sb="1" eb="2">
      <t>ホウ</t>
    </rPh>
    <phoneticPr fontId="1"/>
  </si>
  <si>
    <t>合　　計</t>
    <rPh sb="0" eb="1">
      <t>ゴウ</t>
    </rPh>
    <rPh sb="3" eb="4">
      <t>ケイ</t>
    </rPh>
    <phoneticPr fontId="1"/>
  </si>
  <si>
    <t>計</t>
    <rPh sb="0" eb="1">
      <t>ケイ</t>
    </rPh>
    <phoneticPr fontId="1"/>
  </si>
  <si>
    <t>１－１</t>
    <phoneticPr fontId="1"/>
  </si>
  <si>
    <t>整理表ＮＯ</t>
    <rPh sb="0" eb="2">
      <t>セイリ</t>
    </rPh>
    <rPh sb="2" eb="3">
      <t>ヒョウ</t>
    </rPh>
    <phoneticPr fontId="1"/>
  </si>
  <si>
    <t>　農地維持支払</t>
    <rPh sb="1" eb="3">
      <t>ノウチ</t>
    </rPh>
    <rPh sb="3" eb="5">
      <t>イジ</t>
    </rPh>
    <rPh sb="5" eb="7">
      <t>シハライ</t>
    </rPh>
    <phoneticPr fontId="1"/>
  </si>
  <si>
    <t>　資源向上支払（共同活動）</t>
    <rPh sb="1" eb="3">
      <t>シゲン</t>
    </rPh>
    <rPh sb="3" eb="5">
      <t>コウジョウ</t>
    </rPh>
    <rPh sb="5" eb="7">
      <t>シハライ</t>
    </rPh>
    <rPh sb="8" eb="10">
      <t>キョウドウ</t>
    </rPh>
    <rPh sb="10" eb="12">
      <t>カツドウ</t>
    </rPh>
    <phoneticPr fontId="1"/>
  </si>
  <si>
    <t>　資源向上支払（長寿命化）</t>
    <rPh sb="1" eb="3">
      <t>シゲン</t>
    </rPh>
    <rPh sb="3" eb="5">
      <t>コウジョウ</t>
    </rPh>
    <rPh sb="5" eb="7">
      <t>シハライ</t>
    </rPh>
    <rPh sb="8" eb="9">
      <t>チョウ</t>
    </rPh>
    <rPh sb="9" eb="12">
      <t>ジュミョウカ</t>
    </rPh>
    <phoneticPr fontId="1"/>
  </si>
  <si>
    <t>鎌田下管理組合</t>
    <rPh sb="0" eb="2">
      <t>カマタ</t>
    </rPh>
    <rPh sb="2" eb="3">
      <t>シタ</t>
    </rPh>
    <rPh sb="3" eb="5">
      <t>カンリ</t>
    </rPh>
    <rPh sb="5" eb="7">
      <t>クミアイ</t>
    </rPh>
    <phoneticPr fontId="1"/>
  </si>
  <si>
    <t>渋谷　文啓</t>
    <rPh sb="0" eb="2">
      <t>シブヤ</t>
    </rPh>
    <rPh sb="3" eb="4">
      <t>ブン</t>
    </rPh>
    <rPh sb="4" eb="5">
      <t>ケイ</t>
    </rPh>
    <phoneticPr fontId="1"/>
  </si>
  <si>
    <t>藤井　守</t>
    <rPh sb="0" eb="2">
      <t>フジイ</t>
    </rPh>
    <rPh sb="3" eb="4">
      <t>マモ</t>
    </rPh>
    <phoneticPr fontId="1"/>
  </si>
  <si>
    <t>古川　妙子</t>
    <rPh sb="0" eb="2">
      <t>フルカワ</t>
    </rPh>
    <rPh sb="3" eb="5">
      <t>タエコ</t>
    </rPh>
    <phoneticPr fontId="1"/>
  </si>
  <si>
    <t>～</t>
  </si>
  <si>
    <t>　藤井　守</t>
    <rPh sb="1" eb="3">
      <t>フジイ</t>
    </rPh>
    <rPh sb="4" eb="5">
      <t>マモ</t>
    </rPh>
    <phoneticPr fontId="1"/>
  </si>
  <si>
    <t>農・維 ２</t>
    <rPh sb="0" eb="1">
      <t>ノウ</t>
    </rPh>
    <rPh sb="2" eb="3">
      <t>イ</t>
    </rPh>
    <phoneticPr fontId="1"/>
  </si>
  <si>
    <t>農・維 ４</t>
    <rPh sb="0" eb="1">
      <t>ノウ</t>
    </rPh>
    <rPh sb="2" eb="3">
      <t>イ</t>
    </rPh>
    <phoneticPr fontId="1"/>
  </si>
  <si>
    <t>　阿部　正隆</t>
    <rPh sb="1" eb="3">
      <t>アベ</t>
    </rPh>
    <rPh sb="4" eb="6">
      <t>マサタカ</t>
    </rPh>
    <phoneticPr fontId="1"/>
  </si>
  <si>
    <t>　斉木　忠義</t>
    <rPh sb="1" eb="3">
      <t>サイキ</t>
    </rPh>
    <rPh sb="4" eb="6">
      <t>タダヨシ</t>
    </rPh>
    <phoneticPr fontId="1"/>
  </si>
  <si>
    <t>→</t>
    <phoneticPr fontId="1"/>
  </si>
  <si>
    <t>阿部　知信</t>
    <rPh sb="0" eb="2">
      <t>アベ</t>
    </rPh>
    <rPh sb="3" eb="4">
      <t>シ</t>
    </rPh>
    <rPh sb="4" eb="5">
      <t>ノブ</t>
    </rPh>
    <phoneticPr fontId="1"/>
  </si>
  <si>
    <t>実働時間</t>
    <rPh sb="0" eb="2">
      <t>ジツドウ</t>
    </rPh>
    <rPh sb="2" eb="4">
      <t>ジカン</t>
    </rPh>
    <phoneticPr fontId="1"/>
  </si>
  <si>
    <t>参加者一覧　兼　領収印</t>
  </si>
  <si>
    <t>氏　名</t>
  </si>
  <si>
    <t xml:space="preserve"> NO.</t>
  </si>
  <si>
    <t>合　計</t>
  </si>
  <si>
    <t>領　収　印</t>
  </si>
  <si>
    <t>日　  付</t>
  </si>
  <si>
    <t>時 間 帯</t>
  </si>
  <si>
    <t>実働時間</t>
  </si>
  <si>
    <t>活動内容</t>
  </si>
  <si>
    <t>日　　　当</t>
  </si>
  <si>
    <t>草 刈 機</t>
  </si>
  <si>
    <t>畦畔草刈機</t>
  </si>
  <si>
    <t>軽トラック</t>
  </si>
  <si>
    <t>藤井　守</t>
  </si>
  <si>
    <t>嘉藤　茂</t>
  </si>
  <si>
    <t>合　　計</t>
    <rPh sb="0" eb="1">
      <t>ゴウ</t>
    </rPh>
    <rPh sb="3" eb="4">
      <t>ケイ</t>
    </rPh>
    <phoneticPr fontId="1"/>
  </si>
  <si>
    <t>NO.</t>
    <phoneticPr fontId="1"/>
  </si>
  <si>
    <t>実働時間(H)</t>
    <rPh sb="0" eb="2">
      <t>ジツドウ</t>
    </rPh>
    <rPh sb="2" eb="4">
      <t>ジカン</t>
    </rPh>
    <phoneticPr fontId="1"/>
  </si>
  <si>
    <t>支払額 　（円）</t>
    <rPh sb="0" eb="2">
      <t>シハライ</t>
    </rPh>
    <rPh sb="2" eb="3">
      <t>ガク</t>
    </rPh>
    <rPh sb="6" eb="7">
      <t>エン</t>
    </rPh>
    <phoneticPr fontId="1"/>
  </si>
  <si>
    <t>　　　</t>
    <phoneticPr fontId="1"/>
  </si>
  <si>
    <t>法人カマタ</t>
    <rPh sb="0" eb="2">
      <t>ホウジン</t>
    </rPh>
    <phoneticPr fontId="1"/>
  </si>
  <si>
    <t>嘉藤茂</t>
    <rPh sb="0" eb="3">
      <t>カトウモ</t>
    </rPh>
    <phoneticPr fontId="1"/>
  </si>
  <si>
    <t>西谷博厚</t>
    <rPh sb="0" eb="2">
      <t>ニシタニ</t>
    </rPh>
    <rPh sb="2" eb="4">
      <t>ヒロアツ</t>
    </rPh>
    <phoneticPr fontId="1"/>
  </si>
  <si>
    <t>阿部知信</t>
    <rPh sb="0" eb="2">
      <t>アベ</t>
    </rPh>
    <rPh sb="2" eb="4">
      <t>トモノブ</t>
    </rPh>
    <phoneticPr fontId="1"/>
  </si>
  <si>
    <t>阿部賢二</t>
    <rPh sb="0" eb="4">
      <t>アベケンジ</t>
    </rPh>
    <phoneticPr fontId="1"/>
  </si>
  <si>
    <t>五十嵐修一</t>
    <rPh sb="0" eb="5">
      <t>イガラシシュウイチ</t>
    </rPh>
    <phoneticPr fontId="1"/>
  </si>
  <si>
    <t>穂刈和利</t>
    <rPh sb="0" eb="2">
      <t>ホカリ</t>
    </rPh>
    <rPh sb="2" eb="4">
      <t>カズトシ</t>
    </rPh>
    <phoneticPr fontId="1"/>
  </si>
  <si>
    <t>山田義雄</t>
    <rPh sb="0" eb="4">
      <t>ヤマダヨシオ</t>
    </rPh>
    <phoneticPr fontId="1"/>
  </si>
  <si>
    <t>藤井守</t>
    <rPh sb="0" eb="3">
      <t>フジイマモル</t>
    </rPh>
    <phoneticPr fontId="1"/>
  </si>
  <si>
    <t>飛田芳則</t>
    <rPh sb="0" eb="2">
      <t>トビタ</t>
    </rPh>
    <rPh sb="2" eb="3">
      <t>ヨシ</t>
    </rPh>
    <rPh sb="3" eb="4">
      <t>ノリ</t>
    </rPh>
    <phoneticPr fontId="1"/>
  </si>
  <si>
    <t>阿部正隆</t>
    <rPh sb="0" eb="2">
      <t>アベ</t>
    </rPh>
    <rPh sb="2" eb="4">
      <t>マサタカ</t>
    </rPh>
    <phoneticPr fontId="1"/>
  </si>
  <si>
    <t>斎木忠義</t>
    <rPh sb="0" eb="2">
      <t>サイキ</t>
    </rPh>
    <rPh sb="2" eb="4">
      <t>タダヨシ</t>
    </rPh>
    <phoneticPr fontId="1"/>
  </si>
  <si>
    <t>斎木昌樹</t>
    <rPh sb="0" eb="2">
      <t>サイキ</t>
    </rPh>
    <rPh sb="2" eb="4">
      <t>マサキ</t>
    </rPh>
    <phoneticPr fontId="1"/>
  </si>
  <si>
    <t>下管理組合</t>
    <rPh sb="0" eb="1">
      <t>シタ</t>
    </rPh>
    <rPh sb="1" eb="3">
      <t>カンリ</t>
    </rPh>
    <rPh sb="3" eb="5">
      <t>クミアイ</t>
    </rPh>
    <phoneticPr fontId="1"/>
  </si>
  <si>
    <t>一覧表</t>
    <rPh sb="0" eb="3">
      <t>イチランヒョウ</t>
    </rPh>
    <phoneticPr fontId="1"/>
  </si>
  <si>
    <t>令和２年</t>
    <rPh sb="0" eb="2">
      <t>レイワ</t>
    </rPh>
    <rPh sb="3" eb="4">
      <t>ネン</t>
    </rPh>
    <phoneticPr fontId="1"/>
  </si>
  <si>
    <t>軽トラック　　　：　　８００円/時間</t>
    <rPh sb="0" eb="1">
      <t>ケイ</t>
    </rPh>
    <rPh sb="14" eb="15">
      <t>エン</t>
    </rPh>
    <rPh sb="16" eb="18">
      <t>ジカン</t>
    </rPh>
    <phoneticPr fontId="1"/>
  </si>
  <si>
    <t>（燃料費を含む）</t>
    <rPh sb="1" eb="3">
      <t>ネンリョウ</t>
    </rPh>
    <rPh sb="3" eb="4">
      <t>ヒ</t>
    </rPh>
    <rPh sb="5" eb="6">
      <t>フク</t>
    </rPh>
    <phoneticPr fontId="1"/>
  </si>
  <si>
    <t>草刈機　　　　：＋３３０円円/時間</t>
    <rPh sb="0" eb="2">
      <t>クサカ</t>
    </rPh>
    <rPh sb="2" eb="3">
      <t>キ</t>
    </rPh>
    <rPh sb="12" eb="13">
      <t>エン</t>
    </rPh>
    <rPh sb="13" eb="14">
      <t>エン</t>
    </rPh>
    <rPh sb="15" eb="17">
      <t>ジカン</t>
    </rPh>
    <phoneticPr fontId="1"/>
  </si>
  <si>
    <t>畦畔草刈機　：＋８３０円円/時間</t>
    <rPh sb="0" eb="1">
      <t>アゼ</t>
    </rPh>
    <rPh sb="1" eb="2">
      <t>アゼ</t>
    </rPh>
    <rPh sb="2" eb="4">
      <t>クサカ</t>
    </rPh>
    <rPh sb="4" eb="5">
      <t>キ</t>
    </rPh>
    <rPh sb="11" eb="12">
      <t>エン</t>
    </rPh>
    <rPh sb="12" eb="13">
      <t>エン</t>
    </rPh>
    <rPh sb="14" eb="16">
      <t>ジカン</t>
    </rPh>
    <phoneticPr fontId="1"/>
  </si>
  <si>
    <t>法面草刈機　：＋９７０円円/時間</t>
    <rPh sb="0" eb="1">
      <t>ホウ</t>
    </rPh>
    <rPh sb="1" eb="2">
      <t>メン</t>
    </rPh>
    <rPh sb="2" eb="4">
      <t>クサカ</t>
    </rPh>
    <rPh sb="4" eb="5">
      <t>キ</t>
    </rPh>
    <rPh sb="11" eb="12">
      <t>エン</t>
    </rPh>
    <rPh sb="12" eb="13">
      <t>エン</t>
    </rPh>
    <rPh sb="14" eb="16">
      <t>ジカン</t>
    </rPh>
    <phoneticPr fontId="1"/>
  </si>
  <si>
    <t>日当　　　　　：　　　９３０円/時間</t>
    <rPh sb="0" eb="2">
      <t>ニットウ</t>
    </rPh>
    <rPh sb="14" eb="15">
      <t>エン</t>
    </rPh>
    <rPh sb="16" eb="18">
      <t>ジカン</t>
    </rPh>
    <phoneticPr fontId="1"/>
  </si>
  <si>
    <t>斉木　太郎</t>
    <rPh sb="3" eb="5">
      <t>タロウ</t>
    </rPh>
    <phoneticPr fontId="1"/>
  </si>
  <si>
    <t>令和元年</t>
    <rPh sb="0" eb="2">
      <t>レイワ</t>
    </rPh>
    <rPh sb="3" eb="4">
      <t>ネン</t>
    </rPh>
    <phoneticPr fontId="1"/>
  </si>
  <si>
    <t>令和３年</t>
    <rPh sb="0" eb="2">
      <t>レイワ</t>
    </rPh>
    <rPh sb="3" eb="4">
      <t>トシ</t>
    </rPh>
    <phoneticPr fontId="1"/>
  </si>
  <si>
    <t>令和４年</t>
    <rPh sb="0" eb="2">
      <t>レイワ</t>
    </rPh>
    <rPh sb="3" eb="4">
      <t>トシ</t>
    </rPh>
    <phoneticPr fontId="1"/>
  </si>
  <si>
    <t>草刈り</t>
    <phoneticPr fontId="1"/>
  </si>
  <si>
    <t>軽トラック　　　：10００円/時間</t>
    <rPh sb="0" eb="1">
      <t>ケイ</t>
    </rPh>
    <rPh sb="13" eb="14">
      <t>エン</t>
    </rPh>
    <rPh sb="15" eb="17">
      <t>ジカン</t>
    </rPh>
    <phoneticPr fontId="1"/>
  </si>
  <si>
    <t>日当　　　　　：　　1,00０円/時間</t>
    <rPh sb="0" eb="2">
      <t>ニットウ</t>
    </rPh>
    <rPh sb="15" eb="16">
      <t>エン</t>
    </rPh>
    <rPh sb="17" eb="19">
      <t>ジカン</t>
    </rPh>
    <phoneticPr fontId="1"/>
  </si>
  <si>
    <t>草刈機　　　　：＋３5０円円/時間</t>
    <rPh sb="0" eb="2">
      <t>クサカ</t>
    </rPh>
    <rPh sb="2" eb="3">
      <t>キ</t>
    </rPh>
    <rPh sb="12" eb="13">
      <t>エン</t>
    </rPh>
    <rPh sb="13" eb="14">
      <t>エン</t>
    </rPh>
    <rPh sb="15" eb="17">
      <t>ジカン</t>
    </rPh>
    <phoneticPr fontId="1"/>
  </si>
  <si>
    <t>畦畔草刈機　：＋８0０円円/時間</t>
    <rPh sb="0" eb="1">
      <t>アゼ</t>
    </rPh>
    <rPh sb="1" eb="2">
      <t>アゼ</t>
    </rPh>
    <rPh sb="2" eb="4">
      <t>クサカ</t>
    </rPh>
    <rPh sb="4" eb="5">
      <t>キ</t>
    </rPh>
    <rPh sb="11" eb="12">
      <t>エン</t>
    </rPh>
    <rPh sb="12" eb="13">
      <t>エン</t>
    </rPh>
    <rPh sb="14" eb="16">
      <t>ジカン</t>
    </rPh>
    <phoneticPr fontId="1"/>
  </si>
  <si>
    <t>　　　　　　　　　（各々燃料費を含む）</t>
    <rPh sb="10" eb="12">
      <t>オノオノ</t>
    </rPh>
    <rPh sb="12" eb="14">
      <t>ネンリョウ</t>
    </rPh>
    <rPh sb="14" eb="15">
      <t>ヒ</t>
    </rPh>
    <rPh sb="16" eb="17">
      <t>フク</t>
    </rPh>
    <phoneticPr fontId="1"/>
  </si>
  <si>
    <t>4/5</t>
    <phoneticPr fontId="1"/>
  </si>
  <si>
    <t>4/9</t>
    <phoneticPr fontId="1"/>
  </si>
  <si>
    <t>4/12</t>
    <phoneticPr fontId="1"/>
  </si>
  <si>
    <t>5/5</t>
    <phoneticPr fontId="1"/>
  </si>
  <si>
    <t>5/7</t>
    <phoneticPr fontId="1"/>
  </si>
  <si>
    <t>5/13</t>
    <phoneticPr fontId="1"/>
  </si>
  <si>
    <t>5/22</t>
    <phoneticPr fontId="1"/>
  </si>
  <si>
    <t>5/27</t>
    <phoneticPr fontId="1"/>
  </si>
  <si>
    <t>6/4</t>
    <phoneticPr fontId="1"/>
  </si>
  <si>
    <t>6/9</t>
    <phoneticPr fontId="1"/>
  </si>
  <si>
    <t>6/21</t>
    <phoneticPr fontId="1"/>
  </si>
  <si>
    <t>6/22</t>
    <phoneticPr fontId="1"/>
  </si>
  <si>
    <t>6/25</t>
    <phoneticPr fontId="1"/>
  </si>
  <si>
    <t>7/5</t>
    <phoneticPr fontId="1"/>
  </si>
  <si>
    <t>7/10</t>
    <phoneticPr fontId="1"/>
  </si>
  <si>
    <t>8/20</t>
    <phoneticPr fontId="1"/>
  </si>
  <si>
    <t>8/26</t>
    <phoneticPr fontId="1"/>
  </si>
  <si>
    <t>8/27</t>
    <phoneticPr fontId="1"/>
  </si>
  <si>
    <t>9/1</t>
    <phoneticPr fontId="1"/>
  </si>
  <si>
    <t>9/2</t>
    <phoneticPr fontId="1"/>
  </si>
  <si>
    <t>5/6</t>
    <phoneticPr fontId="1"/>
  </si>
  <si>
    <t>6/15</t>
    <phoneticPr fontId="1"/>
  </si>
  <si>
    <t>7/8</t>
    <phoneticPr fontId="1"/>
  </si>
  <si>
    <t>7/12</t>
    <phoneticPr fontId="1"/>
  </si>
  <si>
    <t>8/3</t>
    <phoneticPr fontId="1"/>
  </si>
  <si>
    <t>令和6年４月１日　改定</t>
    <rPh sb="0" eb="2">
      <t>レイワ</t>
    </rPh>
    <rPh sb="3" eb="4">
      <t>ネン</t>
    </rPh>
    <rPh sb="5" eb="6">
      <t>ガツ</t>
    </rPh>
    <rPh sb="7" eb="8">
      <t>ヒ</t>
    </rPh>
    <rPh sb="9" eb="11">
      <t>カイテイ</t>
    </rPh>
    <phoneticPr fontId="1"/>
  </si>
  <si>
    <t>日当　　　　　：1，000円/時間</t>
    <rPh sb="0" eb="2">
      <t>ニットウ</t>
    </rPh>
    <rPh sb="13" eb="14">
      <t>エン</t>
    </rPh>
    <rPh sb="15" eb="17">
      <t>ジカン</t>
    </rPh>
    <phoneticPr fontId="1"/>
  </si>
  <si>
    <t>草刈機　　　　：＋３５０円/時間</t>
    <rPh sb="0" eb="2">
      <t>クサカ</t>
    </rPh>
    <rPh sb="2" eb="3">
      <t>キ</t>
    </rPh>
    <rPh sb="12" eb="13">
      <t>エン</t>
    </rPh>
    <rPh sb="14" eb="16">
      <t>ジカン</t>
    </rPh>
    <phoneticPr fontId="1"/>
  </si>
  <si>
    <t>畦畔草刈機　：＋８００円/時間</t>
    <rPh sb="0" eb="1">
      <t>アゼ</t>
    </rPh>
    <rPh sb="1" eb="2">
      <t>アゼ</t>
    </rPh>
    <rPh sb="2" eb="4">
      <t>クサカ</t>
    </rPh>
    <rPh sb="4" eb="5">
      <t>キ</t>
    </rPh>
    <rPh sb="11" eb="12">
      <t>エン</t>
    </rPh>
    <rPh sb="13" eb="15">
      <t>ジカン</t>
    </rPh>
    <phoneticPr fontId="1"/>
  </si>
  <si>
    <t>軽トラック　　　：１，０００円/時間</t>
    <rPh sb="0" eb="1">
      <t>ケイ</t>
    </rPh>
    <rPh sb="14" eb="15">
      <t>エン</t>
    </rPh>
    <rPh sb="16" eb="18">
      <t>ジカン</t>
    </rPh>
    <phoneticPr fontId="1"/>
  </si>
  <si>
    <t>4/13</t>
    <phoneticPr fontId="1"/>
  </si>
  <si>
    <t>4/15</t>
    <phoneticPr fontId="1"/>
  </si>
  <si>
    <t>4/20</t>
    <phoneticPr fontId="1"/>
  </si>
  <si>
    <t>5/2</t>
    <phoneticPr fontId="1"/>
  </si>
  <si>
    <t>5/3</t>
    <phoneticPr fontId="1"/>
  </si>
  <si>
    <t>5/5</t>
    <phoneticPr fontId="1"/>
  </si>
  <si>
    <t>6/1</t>
    <phoneticPr fontId="1"/>
  </si>
  <si>
    <t>6/2</t>
    <phoneticPr fontId="1"/>
  </si>
  <si>
    <t>7/15</t>
    <phoneticPr fontId="1"/>
  </si>
  <si>
    <t>8/11</t>
    <phoneticPr fontId="1"/>
  </si>
  <si>
    <t>4/14</t>
    <phoneticPr fontId="1"/>
  </si>
  <si>
    <t>5/4</t>
    <phoneticPr fontId="1"/>
  </si>
  <si>
    <t>5/9</t>
    <phoneticPr fontId="1"/>
  </si>
  <si>
    <t>　　　　　令和7年度　　　農地維持支払い一覧表</t>
    <rPh sb="5" eb="7">
      <t>レイワ</t>
    </rPh>
    <rPh sb="8" eb="9">
      <t>ネン</t>
    </rPh>
    <rPh sb="9" eb="10">
      <t>ド</t>
    </rPh>
    <rPh sb="13" eb="15">
      <t>ノウチ</t>
    </rPh>
    <rPh sb="15" eb="17">
      <t>イジ</t>
    </rPh>
    <rPh sb="17" eb="19">
      <t>シハラ</t>
    </rPh>
    <rPh sb="20" eb="22">
      <t>イチラン</t>
    </rPh>
    <rPh sb="22" eb="23">
      <t>ヒョウ</t>
    </rPh>
    <phoneticPr fontId="1"/>
  </si>
  <si>
    <t>令和7年度</t>
    <rPh sb="0" eb="1">
      <t>レイ</t>
    </rPh>
    <rPh sb="1" eb="2">
      <t>ワ</t>
    </rPh>
    <rPh sb="3" eb="5">
      <t>ネンド</t>
    </rPh>
    <phoneticPr fontId="1"/>
  </si>
  <si>
    <t>齋木　太郎</t>
    <rPh sb="0" eb="2">
      <t>サイキ</t>
    </rPh>
    <rPh sb="3" eb="5">
      <t>タロウ</t>
    </rPh>
    <phoneticPr fontId="1"/>
  </si>
  <si>
    <t>阿部賢二</t>
    <rPh sb="0" eb="2">
      <t>アベ</t>
    </rPh>
    <rPh sb="2" eb="4">
      <t>ケンジ</t>
    </rPh>
    <phoneticPr fontId="1"/>
  </si>
  <si>
    <t>令和７年度</t>
    <rPh sb="0" eb="1">
      <t>レイ</t>
    </rPh>
    <rPh sb="1" eb="2">
      <t>ワ</t>
    </rPh>
    <rPh sb="3" eb="5">
      <t>ネンド</t>
    </rPh>
    <phoneticPr fontId="1"/>
  </si>
  <si>
    <t>4/19</t>
    <phoneticPr fontId="1"/>
  </si>
  <si>
    <t>4/26</t>
    <phoneticPr fontId="1"/>
  </si>
  <si>
    <t>4/27</t>
    <phoneticPr fontId="1"/>
  </si>
  <si>
    <t>6/14</t>
    <phoneticPr fontId="1"/>
  </si>
  <si>
    <t>6/28</t>
    <phoneticPr fontId="1"/>
  </si>
  <si>
    <t>7/19</t>
    <phoneticPr fontId="1"/>
  </si>
  <si>
    <t>8/16</t>
    <phoneticPr fontId="1"/>
  </si>
  <si>
    <t>7/22</t>
    <phoneticPr fontId="1"/>
  </si>
  <si>
    <t>8/23</t>
    <phoneticPr fontId="1"/>
  </si>
  <si>
    <t>8/31</t>
    <phoneticPr fontId="1"/>
  </si>
  <si>
    <t>9/6</t>
    <phoneticPr fontId="1"/>
  </si>
  <si>
    <t>農道・畦畔・水路部分の草刈り作業</t>
    <rPh sb="0" eb="2">
      <t>ノウドウ</t>
    </rPh>
    <rPh sb="3" eb="5">
      <t>ケイハン</t>
    </rPh>
    <rPh sb="6" eb="8">
      <t>スイロ</t>
    </rPh>
    <rPh sb="8" eb="10">
      <t>ブブン</t>
    </rPh>
    <rPh sb="11" eb="13">
      <t>クサカ</t>
    </rPh>
    <rPh sb="14" eb="16">
      <t>サギョウ</t>
    </rPh>
    <phoneticPr fontId="1"/>
  </si>
  <si>
    <t>6/3</t>
    <phoneticPr fontId="1"/>
  </si>
  <si>
    <t>8/30</t>
    <phoneticPr fontId="1"/>
  </si>
  <si>
    <t>9/7</t>
    <phoneticPr fontId="1"/>
  </si>
  <si>
    <t>9/8</t>
    <phoneticPr fontId="1"/>
  </si>
  <si>
    <t>4/8</t>
    <phoneticPr fontId="1"/>
  </si>
  <si>
    <t>4/10</t>
    <phoneticPr fontId="1"/>
  </si>
  <si>
    <t>4/23</t>
    <phoneticPr fontId="1"/>
  </si>
  <si>
    <t>4/30</t>
    <phoneticPr fontId="1"/>
  </si>
  <si>
    <t>6/5</t>
    <phoneticPr fontId="1"/>
  </si>
  <si>
    <t>7/2</t>
    <phoneticPr fontId="1"/>
  </si>
  <si>
    <t>7/4</t>
    <phoneticPr fontId="1"/>
  </si>
  <si>
    <t>8/10</t>
    <phoneticPr fontId="1"/>
  </si>
  <si>
    <t>8/14</t>
    <phoneticPr fontId="1"/>
  </si>
  <si>
    <t>8/17</t>
    <phoneticPr fontId="1"/>
  </si>
  <si>
    <t>令和7年（自動入力）</t>
    <rPh sb="0" eb="2">
      <t>レイワ</t>
    </rPh>
    <rPh sb="3" eb="4">
      <t>ネン</t>
    </rPh>
    <rPh sb="5" eb="7">
      <t>ジドウ</t>
    </rPh>
    <rPh sb="7" eb="9">
      <t>ニュウリョク</t>
    </rPh>
    <phoneticPr fontId="1"/>
  </si>
  <si>
    <t>令和６年</t>
    <rPh sb="0" eb="2">
      <t>レイワ</t>
    </rPh>
    <rPh sb="3" eb="4">
      <t>トシ</t>
    </rPh>
    <phoneticPr fontId="1"/>
  </si>
  <si>
    <t>古川/佐藤</t>
    <rPh sb="0" eb="2">
      <t>フルカワ</t>
    </rPh>
    <rPh sb="3" eb="5">
      <t>サトウ</t>
    </rPh>
    <phoneticPr fontId="1"/>
  </si>
  <si>
    <t>動力噴霧器</t>
    <rPh sb="0" eb="2">
      <t>ドウリョク</t>
    </rPh>
    <rPh sb="2" eb="5">
      <t>フンムキ</t>
    </rPh>
    <phoneticPr fontId="1"/>
  </si>
  <si>
    <t>動力噴霧器　：＋３５０円/時間</t>
    <rPh sb="0" eb="2">
      <t>ドウリョク</t>
    </rPh>
    <rPh sb="2" eb="5">
      <t>フンムキ</t>
    </rPh>
    <rPh sb="11" eb="12">
      <t>エン</t>
    </rPh>
    <rPh sb="13" eb="15">
      <t>ジカン</t>
    </rPh>
    <phoneticPr fontId="1"/>
  </si>
  <si>
    <t>動力噴霧器　：＋３５０円円/時間</t>
    <rPh sb="0" eb="5">
      <t>ドウリョクフンムキ</t>
    </rPh>
    <rPh sb="11" eb="12">
      <t>エン</t>
    </rPh>
    <rPh sb="12" eb="13">
      <t>エン</t>
    </rPh>
    <rPh sb="14" eb="16">
      <t>ジカン</t>
    </rPh>
    <phoneticPr fontId="1"/>
  </si>
  <si>
    <t>除草剤　散布</t>
    <rPh sb="0" eb="3">
      <t>ジョソウザイ</t>
    </rPh>
    <rPh sb="4" eb="6">
      <t>サンプ</t>
    </rPh>
    <phoneticPr fontId="1"/>
  </si>
  <si>
    <t>16：：00</t>
    <phoneticPr fontId="1"/>
  </si>
  <si>
    <t>斎木太郎</t>
    <rPh sb="0" eb="2">
      <t>サイキ</t>
    </rPh>
    <rPh sb="2" eb="4">
      <t>タロウ</t>
    </rPh>
    <phoneticPr fontId="1"/>
  </si>
  <si>
    <t>法人　R７年　（自動入力）</t>
    <rPh sb="0" eb="2">
      <t>ホウジン</t>
    </rPh>
    <rPh sb="5" eb="6">
      <t>ネン</t>
    </rPh>
    <rPh sb="8" eb="10">
      <t>ジドウ</t>
    </rPh>
    <rPh sb="10" eb="12">
      <t>ニュウリョク</t>
    </rPh>
    <phoneticPr fontId="1"/>
  </si>
  <si>
    <t>草刈り　　　モア機</t>
    <rPh sb="0" eb="2">
      <t>クサカ</t>
    </rPh>
    <rPh sb="8" eb="9">
      <t>キ</t>
    </rPh>
    <phoneticPr fontId="1"/>
  </si>
  <si>
    <t>除草剤　　散布</t>
    <rPh sb="0" eb="3">
      <t>ジョソウザイ</t>
    </rPh>
    <rPh sb="5" eb="7">
      <t>サンプ</t>
    </rPh>
    <phoneticPr fontId="1"/>
  </si>
  <si>
    <t>小計</t>
    <rPh sb="0" eb="2">
      <t>ショウケイ</t>
    </rPh>
    <phoneticPr fontId="1"/>
  </si>
  <si>
    <t>No</t>
    <phoneticPr fontId="1"/>
  </si>
  <si>
    <t>動力噴霧器</t>
    <rPh sb="0" eb="5">
      <t>ドウリョクフンムキ</t>
    </rPh>
    <phoneticPr fontId="1"/>
  </si>
  <si>
    <t>１/２</t>
    <phoneticPr fontId="1"/>
  </si>
  <si>
    <t>２/２</t>
    <phoneticPr fontId="1"/>
  </si>
  <si>
    <t>農・維１-１/２</t>
    <rPh sb="0" eb="1">
      <t>ノウ</t>
    </rPh>
    <rPh sb="2" eb="3">
      <t>イ</t>
    </rPh>
    <phoneticPr fontId="1"/>
  </si>
  <si>
    <t>農・維１-２/２</t>
    <rPh sb="0" eb="1">
      <t>ノウ</t>
    </rPh>
    <rPh sb="2" eb="3">
      <t>イ</t>
    </rPh>
    <phoneticPr fontId="1"/>
  </si>
  <si>
    <t>7/12</t>
    <phoneticPr fontId="1"/>
  </si>
  <si>
    <t>7/15</t>
    <phoneticPr fontId="1"/>
  </si>
  <si>
    <t>7/18</t>
    <phoneticPr fontId="1"/>
  </si>
  <si>
    <t>7/19</t>
    <phoneticPr fontId="1"/>
  </si>
  <si>
    <t>7/23</t>
    <phoneticPr fontId="1"/>
  </si>
  <si>
    <t>7/25</t>
    <phoneticPr fontId="1"/>
  </si>
  <si>
    <t>7/26</t>
    <phoneticPr fontId="1"/>
  </si>
  <si>
    <t>8/1</t>
    <phoneticPr fontId="1"/>
  </si>
  <si>
    <t>8/3</t>
    <phoneticPr fontId="1"/>
  </si>
  <si>
    <t>小　計</t>
    <rPh sb="0" eb="1">
      <t>ショウ</t>
    </rPh>
    <rPh sb="2" eb="3">
      <t>ケイ</t>
    </rPh>
    <phoneticPr fontId="1"/>
  </si>
  <si>
    <t>日当整理表</t>
    <rPh sb="0" eb="2">
      <t>ニットウ</t>
    </rPh>
    <rPh sb="2" eb="4">
      <t>セイリ</t>
    </rPh>
    <rPh sb="4" eb="5">
      <t>ヒョウ</t>
    </rPh>
    <phoneticPr fontId="1"/>
  </si>
  <si>
    <t>農地維持</t>
    <rPh sb="0" eb="4">
      <t>ノウチイジ</t>
    </rPh>
    <phoneticPr fontId="1"/>
  </si>
  <si>
    <t>機械名</t>
    <rPh sb="0" eb="3">
      <t>キカイメイ</t>
    </rPh>
    <phoneticPr fontId="1"/>
  </si>
  <si>
    <t>機械借上げ合計</t>
    <rPh sb="0" eb="2">
      <t>キカイ</t>
    </rPh>
    <rPh sb="2" eb="4">
      <t>カリア</t>
    </rPh>
    <rPh sb="5" eb="7">
      <t>ゴウケイ</t>
    </rPh>
    <phoneticPr fontId="1"/>
  </si>
  <si>
    <t>日　当　合　計</t>
    <rPh sb="0" eb="1">
      <t>ヒ</t>
    </rPh>
    <rPh sb="2" eb="3">
      <t>トウ</t>
    </rPh>
    <rPh sb="4" eb="5">
      <t>ゴウ</t>
    </rPh>
    <rPh sb="6" eb="7">
      <t>ケイ</t>
    </rPh>
    <phoneticPr fontId="1"/>
  </si>
  <si>
    <t>支払額合計</t>
    <rPh sb="0" eb="3">
      <t>シハライガク</t>
    </rPh>
    <rPh sb="3" eb="5">
      <t>ゴウケイ</t>
    </rPh>
    <phoneticPr fontId="1"/>
  </si>
  <si>
    <t>領収印</t>
    <rPh sb="0" eb="3">
      <t>リョウシュウイン</t>
    </rPh>
    <phoneticPr fontId="1"/>
  </si>
  <si>
    <t>（各々燃料費を含む）</t>
    <rPh sb="1" eb="3">
      <t>オノオノ</t>
    </rPh>
    <rPh sb="3" eb="6">
      <t>ネンリョウヒ</t>
    </rPh>
    <rPh sb="7" eb="8">
      <t>フク</t>
    </rPh>
    <phoneticPr fontId="1"/>
  </si>
  <si>
    <t>令和6年４月１日　改定　</t>
    <rPh sb="0" eb="2">
      <t>レイワ</t>
    </rPh>
    <rPh sb="3" eb="4">
      <t>ネン</t>
    </rPh>
    <rPh sb="5" eb="6">
      <t>ガツ</t>
    </rPh>
    <rPh sb="7" eb="8">
      <t>ヒ</t>
    </rPh>
    <rPh sb="9" eb="11">
      <t>カイテイ</t>
    </rPh>
    <phoneticPr fontId="1"/>
  </si>
  <si>
    <t>4/3</t>
    <phoneticPr fontId="1"/>
  </si>
  <si>
    <t>4/4</t>
    <phoneticPr fontId="1"/>
  </si>
  <si>
    <t>4/25</t>
    <phoneticPr fontId="1"/>
  </si>
  <si>
    <t>5/1</t>
    <phoneticPr fontId="1"/>
  </si>
  <si>
    <t>5/8</t>
    <phoneticPr fontId="1"/>
  </si>
  <si>
    <t>5/11</t>
    <phoneticPr fontId="1"/>
  </si>
  <si>
    <t>5/14</t>
    <phoneticPr fontId="1"/>
  </si>
  <si>
    <t>5/17</t>
    <phoneticPr fontId="1"/>
  </si>
  <si>
    <t>5/19</t>
    <phoneticPr fontId="1"/>
  </si>
  <si>
    <t>6/13</t>
    <phoneticPr fontId="1"/>
  </si>
  <si>
    <t>6/18</t>
    <phoneticPr fontId="1"/>
  </si>
  <si>
    <t>6/20</t>
    <phoneticPr fontId="1"/>
  </si>
  <si>
    <t>6/29</t>
    <phoneticPr fontId="1"/>
  </si>
  <si>
    <t>7/7</t>
    <phoneticPr fontId="1"/>
  </si>
  <si>
    <t>7/16</t>
    <phoneticPr fontId="1"/>
  </si>
  <si>
    <t>8/6</t>
    <phoneticPr fontId="1"/>
  </si>
  <si>
    <t>9/3</t>
    <phoneticPr fontId="1"/>
  </si>
  <si>
    <t>9/12</t>
    <phoneticPr fontId="1"/>
  </si>
  <si>
    <t>モア機は（農）法人カマタより無償貸与</t>
    <rPh sb="2" eb="3">
      <t>キ</t>
    </rPh>
    <rPh sb="5" eb="6">
      <t>ノウ</t>
    </rPh>
    <rPh sb="7" eb="9">
      <t>ホウジン</t>
    </rPh>
    <rPh sb="14" eb="16">
      <t>ムショウ</t>
    </rPh>
    <rPh sb="16" eb="18">
      <t>タイヨ</t>
    </rPh>
    <phoneticPr fontId="1"/>
  </si>
  <si>
    <t>合　計</t>
    <rPh sb="0" eb="1">
      <t>ゴウ</t>
    </rPh>
    <rPh sb="2" eb="3">
      <t>ケイ</t>
    </rPh>
    <phoneticPr fontId="1"/>
  </si>
  <si>
    <t>機械名</t>
    <rPh sb="0" eb="3">
      <t>キカイメイ</t>
    </rPh>
    <phoneticPr fontId="1"/>
  </si>
  <si>
    <t>斉木忠義</t>
    <rPh sb="0" eb="4">
      <t>サイキタダヨシ</t>
    </rPh>
    <phoneticPr fontId="1"/>
  </si>
  <si>
    <t>6/10</t>
    <phoneticPr fontId="1"/>
  </si>
  <si>
    <t>(農）法人カマタ</t>
    <rPh sb="1" eb="2">
      <t>ノウ</t>
    </rPh>
    <rPh sb="3" eb="5">
      <t>ホウジン</t>
    </rPh>
    <phoneticPr fontId="1"/>
  </si>
  <si>
    <t>（農）法人カマタ</t>
    <rPh sb="1" eb="2">
      <t>ノウ</t>
    </rPh>
    <rPh sb="3" eb="5">
      <t>ホウジン</t>
    </rPh>
    <phoneticPr fontId="1"/>
  </si>
  <si>
    <t>農・維 1－1/2</t>
    <rPh sb="0" eb="1">
      <t>ノウ</t>
    </rPh>
    <rPh sb="2" eb="3">
      <t>イ</t>
    </rPh>
    <phoneticPr fontId="1"/>
  </si>
  <si>
    <t>農・維 １－2/2</t>
    <rPh sb="0" eb="1">
      <t>ノウ</t>
    </rPh>
    <rPh sb="2" eb="3">
      <t>イ</t>
    </rPh>
    <phoneticPr fontId="1"/>
  </si>
  <si>
    <t>農・維 3</t>
    <rPh sb="0" eb="1">
      <t>ノウ</t>
    </rPh>
    <rPh sb="2" eb="3">
      <t>イ</t>
    </rPh>
    <phoneticPr fontId="1"/>
  </si>
  <si>
    <t>２/２小計</t>
    <rPh sb="3" eb="5">
      <t>ショウケイ</t>
    </rPh>
    <phoneticPr fontId="1"/>
  </si>
  <si>
    <t>１/２　小計</t>
    <rPh sb="4" eb="6">
      <t>ショウケイ</t>
    </rPh>
    <phoneticPr fontId="1"/>
  </si>
  <si>
    <t>１法人・1団体・個人２名</t>
    <rPh sb="1" eb="3">
      <t>ホウジン</t>
    </rPh>
    <rPh sb="5" eb="7">
      <t>ダンタイ</t>
    </rPh>
    <rPh sb="8" eb="10">
      <t>コジン</t>
    </rPh>
    <rPh sb="11" eb="12">
      <t>メイ</t>
    </rPh>
    <phoneticPr fontId="1"/>
  </si>
  <si>
    <t>令和６年度比</t>
    <rPh sb="0" eb="2">
      <t>レイワ</t>
    </rPh>
    <rPh sb="3" eb="5">
      <t>ネンド</t>
    </rPh>
    <rPh sb="5" eb="6">
      <t>ヒ</t>
    </rPh>
    <phoneticPr fontId="1"/>
  </si>
  <si>
    <t>畦畔・農道・路肩・法面の草刈り等</t>
    <rPh sb="0" eb="2">
      <t>ケイハン</t>
    </rPh>
    <rPh sb="3" eb="5">
      <t>ノウドウ</t>
    </rPh>
    <rPh sb="6" eb="8">
      <t>ロカタ</t>
    </rPh>
    <rPh sb="9" eb="10">
      <t>ホウ</t>
    </rPh>
    <rPh sb="10" eb="11">
      <t>メン</t>
    </rPh>
    <rPh sb="12" eb="14">
      <t>クサカリ</t>
    </rPh>
    <rPh sb="15" eb="16">
      <t>トウ</t>
    </rPh>
    <phoneticPr fontId="1"/>
  </si>
  <si>
    <t>振込</t>
    <rPh sb="0" eb="2">
      <t>フリコミ</t>
    </rPh>
    <phoneticPr fontId="1"/>
  </si>
  <si>
    <t>農・維 ５</t>
    <rPh sb="0" eb="1">
      <t>ノウ</t>
    </rPh>
    <rPh sb="2" eb="3">
      <t>イ</t>
    </rPh>
    <phoneticPr fontId="1"/>
  </si>
  <si>
    <t>日当合計</t>
    <rPh sb="0" eb="4">
      <t>ニットウゴウケイ</t>
    </rPh>
    <phoneticPr fontId="1"/>
  </si>
  <si>
    <t>機械借上げ</t>
    <rPh sb="0" eb="4">
      <t>キカイカリア</t>
    </rPh>
    <phoneticPr fontId="1"/>
  </si>
  <si>
    <t>支払合計</t>
    <rPh sb="0" eb="4">
      <t>シハライゴウケイ</t>
    </rPh>
    <phoneticPr fontId="1"/>
  </si>
  <si>
    <t>畦畔・農道・路肩・法面の草刈り等</t>
    <rPh sb="0" eb="2">
      <t>ケイハン</t>
    </rPh>
    <rPh sb="3" eb="5">
      <t>ノウドウ</t>
    </rPh>
    <rPh sb="6" eb="8">
      <t>ロカタ</t>
    </rPh>
    <rPh sb="9" eb="10">
      <t>ホウ</t>
    </rPh>
    <rPh sb="10" eb="11">
      <t>メン</t>
    </rPh>
    <rPh sb="12" eb="14">
      <t>クサカ</t>
    </rPh>
    <rPh sb="15" eb="16">
      <t>ナド</t>
    </rPh>
    <phoneticPr fontId="1"/>
  </si>
  <si>
    <t>畦畔・農道・路肩・法面の草刈り作業</t>
    <rPh sb="0" eb="2">
      <t>ケイハン</t>
    </rPh>
    <rPh sb="3" eb="5">
      <t>ノウドウ</t>
    </rPh>
    <rPh sb="6" eb="8">
      <t>ロカタ</t>
    </rPh>
    <rPh sb="9" eb="10">
      <t>ホウ</t>
    </rPh>
    <rPh sb="10" eb="11">
      <t>メン</t>
    </rPh>
    <rPh sb="12" eb="14">
      <t>クサカ</t>
    </rPh>
    <rPh sb="15" eb="17">
      <t>サギョウ</t>
    </rPh>
    <phoneticPr fontId="1"/>
  </si>
  <si>
    <t>領収印</t>
    <rPh sb="0" eb="3">
      <t>リョウシュウイン</t>
    </rPh>
    <phoneticPr fontId="1"/>
  </si>
  <si>
    <t>畦畔・農道・路肩・法面の草刈り等</t>
    <rPh sb="0" eb="2">
      <t>ケイハン</t>
    </rPh>
    <rPh sb="3" eb="5">
      <t>ノウドウ</t>
    </rPh>
    <rPh sb="6" eb="8">
      <t>ロカタ</t>
    </rPh>
    <rPh sb="9" eb="11">
      <t>ホウメン</t>
    </rPh>
    <rPh sb="12" eb="14">
      <t>クサカ</t>
    </rPh>
    <rPh sb="15" eb="16">
      <t>ナド</t>
    </rPh>
    <phoneticPr fontId="1"/>
  </si>
  <si>
    <t>農・維２</t>
    <rPh sb="0" eb="1">
      <t>ノウ</t>
    </rPh>
    <rPh sb="2" eb="3">
      <t>イ</t>
    </rPh>
    <phoneticPr fontId="1"/>
  </si>
  <si>
    <t>農・維３</t>
    <rPh sb="0" eb="1">
      <t>ノウ</t>
    </rPh>
    <rPh sb="2" eb="3">
      <t>イ</t>
    </rPh>
    <phoneticPr fontId="1"/>
  </si>
  <si>
    <t>農・維４</t>
    <rPh sb="0" eb="1">
      <t>ノウ</t>
    </rPh>
    <rPh sb="2" eb="3">
      <t>イ</t>
    </rPh>
    <phoneticPr fontId="1"/>
  </si>
  <si>
    <t>農・維５</t>
    <rPh sb="0" eb="1">
      <t>ノウ</t>
    </rPh>
    <rPh sb="2" eb="3">
      <t>イ</t>
    </rPh>
    <phoneticPr fontId="1"/>
  </si>
  <si>
    <t>令和７年度　鎌田排水機場用地・農道・路肩の草刈り等</t>
    <rPh sb="0" eb="1">
      <t>レイ</t>
    </rPh>
    <rPh sb="1" eb="2">
      <t>ワ</t>
    </rPh>
    <rPh sb="3" eb="5">
      <t>ネンド</t>
    </rPh>
    <rPh sb="6" eb="8">
      <t>カマタ</t>
    </rPh>
    <rPh sb="8" eb="11">
      <t>ハイスイキ</t>
    </rPh>
    <rPh sb="11" eb="12">
      <t>バ</t>
    </rPh>
    <rPh sb="12" eb="14">
      <t>ヨウチ</t>
    </rPh>
    <rPh sb="15" eb="17">
      <t>ノウドウ</t>
    </rPh>
    <rPh sb="18" eb="20">
      <t>ロカタ</t>
    </rPh>
    <rPh sb="21" eb="23">
      <t>クサカ</t>
    </rPh>
    <rPh sb="24" eb="25">
      <t>ナド</t>
    </rPh>
    <phoneticPr fontId="1"/>
  </si>
  <si>
    <t>延べ　２７時間</t>
    <rPh sb="0" eb="1">
      <t>ノ</t>
    </rPh>
    <rPh sb="5" eb="7">
      <t>ジカン</t>
    </rPh>
    <phoneticPr fontId="1"/>
  </si>
  <si>
    <t>１０時間</t>
    <rPh sb="2" eb="4">
      <t>ジカン</t>
    </rPh>
    <phoneticPr fontId="1"/>
  </si>
  <si>
    <t>４０時間</t>
    <rPh sb="2" eb="4">
      <t>ジカン</t>
    </rPh>
    <phoneticPr fontId="1"/>
  </si>
  <si>
    <t>３８時間</t>
    <rPh sb="2" eb="4">
      <t>ジカン</t>
    </rPh>
    <phoneticPr fontId="1"/>
  </si>
  <si>
    <t>４３時間</t>
    <rPh sb="2" eb="4">
      <t>ジカン</t>
    </rPh>
    <phoneticPr fontId="1"/>
  </si>
  <si>
    <t>２０時間</t>
    <rPh sb="2" eb="4">
      <t>ジカン</t>
    </rPh>
    <phoneticPr fontId="1"/>
  </si>
  <si>
    <t>農地維持</t>
    <rPh sb="0" eb="4">
      <t>ノウチイジ</t>
    </rPh>
    <phoneticPr fontId="1"/>
  </si>
  <si>
    <t>7/21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</si>
</sst>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m/d;@"/>
    <numFmt numFmtId="178" formatCode="h:mm;@"/>
    <numFmt numFmtId="179" formatCode="0.0_);[Red]\(0.0\)"/>
    <numFmt numFmtId="180" formatCode="#,##0.0"/>
    <numFmt numFmtId="181" formatCode="#,##0.0_ ;[Red]\-#,##0.0\ "/>
    <numFmt numFmtId="182" formatCode="[&lt;=999]000;[&lt;=9999]000\-00;000\-0000"/>
    <numFmt numFmtId="183" formatCode="#,##0.0;[Red]\-#,##0.0"/>
  </numFmts>
  <fonts count="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0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8"/>
      <color theme="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rgb="FFFF0000"/>
      <name val="ＭＳ Ｐゴシック"/>
      <family val="2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  <font>
      <b/>
      <sz val="14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2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5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vertical="center" textRotation="255"/>
    </xf>
    <xf numFmtId="38" fontId="5" fillId="0" borderId="5" xfId="1" applyFont="1" applyBorder="1">
      <alignment vertical="center"/>
    </xf>
    <xf numFmtId="38" fontId="5" fillId="0" borderId="15" xfId="1" applyFont="1" applyBorder="1">
      <alignment vertical="center"/>
    </xf>
    <xf numFmtId="38" fontId="5" fillId="0" borderId="6" xfId="1" applyFont="1" applyBorder="1">
      <alignment vertical="center"/>
    </xf>
    <xf numFmtId="38" fontId="0" fillId="0" borderId="6" xfId="1" applyFont="1" applyBorder="1">
      <alignment vertical="center"/>
    </xf>
    <xf numFmtId="178" fontId="7" fillId="0" borderId="13" xfId="0" applyNumberFormat="1" applyFont="1" applyBorder="1" applyAlignment="1">
      <alignment vertical="center" textRotation="255"/>
    </xf>
    <xf numFmtId="177" fontId="7" fillId="0" borderId="5" xfId="0" applyNumberFormat="1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center" vertical="center"/>
    </xf>
    <xf numFmtId="179" fontId="7" fillId="0" borderId="6" xfId="0" applyNumberFormat="1" applyFont="1" applyBorder="1">
      <alignment vertical="center"/>
    </xf>
    <xf numFmtId="178" fontId="7" fillId="0" borderId="16" xfId="0" applyNumberFormat="1" applyFont="1" applyBorder="1" applyAlignment="1">
      <alignment horizontal="center" vertical="center"/>
    </xf>
    <xf numFmtId="178" fontId="7" fillId="0" borderId="1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textRotation="255"/>
    </xf>
    <xf numFmtId="177" fontId="7" fillId="0" borderId="5" xfId="0" applyNumberFormat="1" applyFont="1" applyBorder="1">
      <alignment vertical="center"/>
    </xf>
    <xf numFmtId="178" fontId="7" fillId="0" borderId="16" xfId="0" applyNumberFormat="1" applyFont="1" applyBorder="1">
      <alignment vertical="center"/>
    </xf>
    <xf numFmtId="178" fontId="7" fillId="0" borderId="17" xfId="0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38" fontId="5" fillId="0" borderId="14" xfId="1" applyFont="1" applyBorder="1">
      <alignment vertical="center"/>
    </xf>
    <xf numFmtId="38" fontId="0" fillId="0" borderId="5" xfId="1" applyFont="1" applyBorder="1">
      <alignment vertical="center"/>
    </xf>
    <xf numFmtId="38" fontId="0" fillId="0" borderId="14" xfId="1" applyFont="1" applyBorder="1">
      <alignment vertical="center"/>
    </xf>
    <xf numFmtId="0" fontId="0" fillId="0" borderId="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9" xfId="0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38" fontId="5" fillId="0" borderId="16" xfId="1" applyFont="1" applyBorder="1">
      <alignment vertical="center"/>
    </xf>
    <xf numFmtId="178" fontId="7" fillId="0" borderId="13" xfId="0" applyNumberFormat="1" applyFont="1" applyBorder="1" applyAlignment="1">
      <alignment horizontal="center" vertical="center" textRotation="255"/>
    </xf>
    <xf numFmtId="0" fontId="8" fillId="0" borderId="0" xfId="0" applyFont="1">
      <alignment vertical="center"/>
    </xf>
    <xf numFmtId="38" fontId="0" fillId="0" borderId="0" xfId="0" applyNumberFormat="1">
      <alignment vertical="center"/>
    </xf>
    <xf numFmtId="0" fontId="5" fillId="0" borderId="3" xfId="0" applyFont="1" applyBorder="1" applyAlignment="1">
      <alignment horizontal="center" vertical="center"/>
    </xf>
    <xf numFmtId="38" fontId="5" fillId="0" borderId="3" xfId="1" applyFont="1" applyBorder="1">
      <alignment vertical="center"/>
    </xf>
    <xf numFmtId="38" fontId="5" fillId="0" borderId="0" xfId="1" applyFont="1" applyBorder="1">
      <alignment vertical="center"/>
    </xf>
    <xf numFmtId="177" fontId="7" fillId="0" borderId="1" xfId="0" applyNumberFormat="1" applyFont="1" applyBorder="1" applyAlignment="1">
      <alignment horizontal="center" vertical="center" textRotation="255"/>
    </xf>
    <xf numFmtId="38" fontId="5" fillId="0" borderId="5" xfId="1" applyFont="1" applyBorder="1" applyAlignment="1">
      <alignment horizontal="center" vertical="center"/>
    </xf>
    <xf numFmtId="38" fontId="5" fillId="0" borderId="14" xfId="1" applyFont="1" applyBorder="1" applyAlignment="1">
      <alignment horizontal="center" vertical="center"/>
    </xf>
    <xf numFmtId="38" fontId="5" fillId="0" borderId="16" xfId="1" applyFont="1" applyBorder="1" applyAlignment="1">
      <alignment horizontal="center" vertical="center"/>
    </xf>
    <xf numFmtId="38" fontId="5" fillId="0" borderId="15" xfId="1" applyFont="1" applyBorder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38" fontId="5" fillId="0" borderId="3" xfId="1" applyFont="1" applyBorder="1" applyAlignment="1">
      <alignment horizontal="center" vertical="center"/>
    </xf>
    <xf numFmtId="38" fontId="5" fillId="0" borderId="8" xfId="1" applyFont="1" applyBorder="1" applyAlignment="1">
      <alignment horizontal="center" vertical="center"/>
    </xf>
    <xf numFmtId="38" fontId="9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11" fillId="0" borderId="0" xfId="0" applyNumberFormat="1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8" xfId="0" applyFont="1" applyBorder="1">
      <alignment vertical="center"/>
    </xf>
    <xf numFmtId="0" fontId="0" fillId="0" borderId="13" xfId="0" applyBorder="1" applyAlignment="1">
      <alignment horizontal="center" vertical="center"/>
    </xf>
    <xf numFmtId="0" fontId="14" fillId="0" borderId="0" xfId="0" applyFont="1">
      <alignment vertical="center"/>
    </xf>
    <xf numFmtId="38" fontId="14" fillId="0" borderId="0" xfId="1" applyFont="1">
      <alignment vertical="center"/>
    </xf>
    <xf numFmtId="3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38" fontId="0" fillId="0" borderId="0" xfId="1" applyFont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3" fontId="0" fillId="0" borderId="0" xfId="0" applyNumberFormat="1">
      <alignment vertical="center"/>
    </xf>
    <xf numFmtId="0" fontId="20" fillId="0" borderId="0" xfId="0" applyFont="1">
      <alignment vertical="center"/>
    </xf>
    <xf numFmtId="0" fontId="24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8" fontId="5" fillId="0" borderId="11" xfId="1" applyFont="1" applyBorder="1">
      <alignment vertical="center"/>
    </xf>
    <xf numFmtId="38" fontId="5" fillId="0" borderId="11" xfId="1" applyFont="1" applyBorder="1" applyAlignment="1">
      <alignment horizontal="center" vertical="center"/>
    </xf>
    <xf numFmtId="38" fontId="22" fillId="0" borderId="13" xfId="1" applyFont="1" applyBorder="1">
      <alignment vertical="center"/>
    </xf>
    <xf numFmtId="38" fontId="22" fillId="0" borderId="21" xfId="1" applyFont="1" applyBorder="1">
      <alignment vertical="center"/>
    </xf>
    <xf numFmtId="38" fontId="22" fillId="0" borderId="20" xfId="1" applyFont="1" applyBorder="1">
      <alignment vertical="center"/>
    </xf>
    <xf numFmtId="38" fontId="13" fillId="0" borderId="13" xfId="1" applyFont="1" applyBorder="1">
      <alignment vertical="center"/>
    </xf>
    <xf numFmtId="38" fontId="13" fillId="0" borderId="21" xfId="1" applyFont="1" applyBorder="1">
      <alignment vertical="center"/>
    </xf>
    <xf numFmtId="38" fontId="13" fillId="0" borderId="20" xfId="1" applyFont="1" applyBorder="1">
      <alignment vertical="center"/>
    </xf>
    <xf numFmtId="38" fontId="0" fillId="0" borderId="0" xfId="1" applyFont="1" applyBorder="1">
      <alignment vertical="center"/>
    </xf>
    <xf numFmtId="0" fontId="4" fillId="0" borderId="0" xfId="0" applyFont="1">
      <alignment vertical="center"/>
    </xf>
    <xf numFmtId="0" fontId="27" fillId="0" borderId="11" xfId="0" applyFont="1" applyBorder="1">
      <alignment vertical="center"/>
    </xf>
    <xf numFmtId="38" fontId="28" fillId="0" borderId="5" xfId="1" applyFont="1" applyBorder="1">
      <alignment vertical="center"/>
    </xf>
    <xf numFmtId="38" fontId="28" fillId="0" borderId="14" xfId="1" applyFont="1" applyBorder="1">
      <alignment vertical="center"/>
    </xf>
    <xf numFmtId="38" fontId="28" fillId="0" borderId="16" xfId="1" applyFont="1" applyBorder="1">
      <alignment vertical="center"/>
    </xf>
    <xf numFmtId="38" fontId="28" fillId="0" borderId="15" xfId="1" applyFont="1" applyBorder="1">
      <alignment vertical="center"/>
    </xf>
    <xf numFmtId="38" fontId="28" fillId="0" borderId="6" xfId="1" applyFont="1" applyBorder="1">
      <alignment vertical="center"/>
    </xf>
    <xf numFmtId="38" fontId="2" fillId="0" borderId="5" xfId="1" applyFont="1" applyBorder="1">
      <alignment vertical="center"/>
    </xf>
    <xf numFmtId="38" fontId="2" fillId="0" borderId="14" xfId="1" applyFont="1" applyBorder="1">
      <alignment vertical="center"/>
    </xf>
    <xf numFmtId="38" fontId="2" fillId="0" borderId="15" xfId="1" applyFont="1" applyBorder="1">
      <alignment vertical="center"/>
    </xf>
    <xf numFmtId="38" fontId="2" fillId="0" borderId="5" xfId="1" applyFont="1" applyBorder="1" applyAlignment="1">
      <alignment vertical="center"/>
    </xf>
    <xf numFmtId="179" fontId="2" fillId="0" borderId="6" xfId="0" applyNumberFormat="1" applyFont="1" applyBorder="1" applyAlignment="1">
      <alignment horizontal="center" vertical="center"/>
    </xf>
    <xf numFmtId="38" fontId="2" fillId="0" borderId="14" xfId="1" applyFont="1" applyBorder="1" applyAlignment="1">
      <alignment vertical="center"/>
    </xf>
    <xf numFmtId="38" fontId="29" fillId="0" borderId="0" xfId="0" applyNumberFormat="1" applyFont="1">
      <alignment vertical="center"/>
    </xf>
    <xf numFmtId="0" fontId="29" fillId="0" borderId="0" xfId="0" applyFont="1">
      <alignment vertical="center"/>
    </xf>
    <xf numFmtId="38" fontId="5" fillId="0" borderId="8" xfId="1" applyFont="1" applyBorder="1">
      <alignment vertical="center"/>
    </xf>
    <xf numFmtId="0" fontId="2" fillId="0" borderId="22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38" fontId="5" fillId="0" borderId="13" xfId="1" applyFont="1" applyBorder="1" applyAlignment="1">
      <alignment horizontal="center" vertical="center"/>
    </xf>
    <xf numFmtId="38" fontId="30" fillId="0" borderId="0" xfId="1" applyFont="1">
      <alignment vertical="center"/>
    </xf>
    <xf numFmtId="38" fontId="2" fillId="0" borderId="16" xfId="1" applyFont="1" applyBorder="1" applyAlignment="1">
      <alignment vertical="center"/>
    </xf>
    <xf numFmtId="38" fontId="2" fillId="0" borderId="3" xfId="1" applyFont="1" applyBorder="1" applyAlignment="1">
      <alignment vertical="center"/>
    </xf>
    <xf numFmtId="0" fontId="2" fillId="0" borderId="11" xfId="0" applyFont="1" applyBorder="1">
      <alignment vertical="center"/>
    </xf>
    <xf numFmtId="38" fontId="22" fillId="0" borderId="29" xfId="1" applyFont="1" applyBorder="1">
      <alignment vertical="center"/>
    </xf>
    <xf numFmtId="0" fontId="0" fillId="0" borderId="6" xfId="0" applyBorder="1">
      <alignment vertical="center"/>
    </xf>
    <xf numFmtId="0" fontId="10" fillId="0" borderId="31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 textRotation="255"/>
    </xf>
    <xf numFmtId="38" fontId="5" fillId="0" borderId="30" xfId="1" applyFont="1" applyBorder="1">
      <alignment vertical="center"/>
    </xf>
    <xf numFmtId="38" fontId="13" fillId="0" borderId="32" xfId="1" applyFont="1" applyBorder="1">
      <alignment vertical="center"/>
    </xf>
    <xf numFmtId="0" fontId="2" fillId="0" borderId="5" xfId="0" applyFont="1" applyBorder="1">
      <alignment vertical="center"/>
    </xf>
    <xf numFmtId="181" fontId="13" fillId="0" borderId="30" xfId="1" applyNumberFormat="1" applyFont="1" applyBorder="1" applyAlignment="1">
      <alignment horizontal="center" vertical="center"/>
    </xf>
    <xf numFmtId="0" fontId="0" fillId="0" borderId="33" xfId="0" applyBorder="1">
      <alignment vertical="center"/>
    </xf>
    <xf numFmtId="0" fontId="5" fillId="0" borderId="33" xfId="0" applyFont="1" applyBorder="1" applyAlignment="1">
      <alignment horizontal="center" vertical="center"/>
    </xf>
    <xf numFmtId="38" fontId="5" fillId="0" borderId="33" xfId="1" applyFont="1" applyBorder="1">
      <alignment vertical="center"/>
    </xf>
    <xf numFmtId="38" fontId="5" fillId="0" borderId="33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vertical="center" textRotation="255"/>
    </xf>
    <xf numFmtId="179" fontId="12" fillId="0" borderId="6" xfId="0" applyNumberFormat="1" applyFont="1" applyBorder="1" applyAlignment="1">
      <alignment horizontal="center" vertical="center"/>
    </xf>
    <xf numFmtId="176" fontId="32" fillId="0" borderId="3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2" fillId="0" borderId="3" xfId="0" applyFont="1" applyBorder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38" fontId="32" fillId="0" borderId="3" xfId="0" applyNumberFormat="1" applyFont="1" applyBorder="1">
      <alignment vertical="center"/>
    </xf>
    <xf numFmtId="3" fontId="32" fillId="0" borderId="3" xfId="0" applyNumberFormat="1" applyFont="1" applyBorder="1">
      <alignment vertical="center"/>
    </xf>
    <xf numFmtId="38" fontId="28" fillId="0" borderId="13" xfId="1" applyFont="1" applyBorder="1">
      <alignment vertical="center"/>
    </xf>
    <xf numFmtId="0" fontId="22" fillId="0" borderId="0" xfId="0" applyFont="1" applyAlignment="1">
      <alignment horizontal="center" vertical="center"/>
    </xf>
    <xf numFmtId="38" fontId="31" fillId="0" borderId="1" xfId="0" applyNumberFormat="1" applyFont="1" applyBorder="1">
      <alignment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0" fillId="0" borderId="35" xfId="0" applyBorder="1">
      <alignment vertical="center"/>
    </xf>
    <xf numFmtId="0" fontId="31" fillId="0" borderId="35" xfId="0" applyFont="1" applyBorder="1">
      <alignment vertical="center"/>
    </xf>
    <xf numFmtId="0" fontId="31" fillId="0" borderId="35" xfId="0" applyFont="1" applyBorder="1" applyAlignment="1">
      <alignment horizontal="center" vertical="center"/>
    </xf>
    <xf numFmtId="0" fontId="31" fillId="0" borderId="25" xfId="0" applyFont="1" applyBorder="1">
      <alignment vertical="center"/>
    </xf>
    <xf numFmtId="0" fontId="31" fillId="0" borderId="28" xfId="0" applyFont="1" applyBorder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38" fontId="31" fillId="0" borderId="25" xfId="0" applyNumberFormat="1" applyFont="1" applyBorder="1">
      <alignment vertical="center"/>
    </xf>
    <xf numFmtId="38" fontId="31" fillId="0" borderId="28" xfId="0" applyNumberFormat="1" applyFont="1" applyBorder="1">
      <alignment vertical="center"/>
    </xf>
    <xf numFmtId="38" fontId="33" fillId="0" borderId="35" xfId="0" applyNumberFormat="1" applyFont="1" applyBorder="1">
      <alignment vertical="center"/>
    </xf>
    <xf numFmtId="38" fontId="34" fillId="0" borderId="35" xfId="0" applyNumberFormat="1" applyFont="1" applyBorder="1">
      <alignment vertical="center"/>
    </xf>
    <xf numFmtId="38" fontId="31" fillId="0" borderId="0" xfId="1" applyFont="1" applyBorder="1">
      <alignment vertical="center"/>
    </xf>
    <xf numFmtId="0" fontId="3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7" fillId="0" borderId="11" xfId="0" applyFont="1" applyBorder="1" applyAlignment="1">
      <alignment horizontal="center" vertical="center"/>
    </xf>
    <xf numFmtId="38" fontId="28" fillId="0" borderId="5" xfId="1" applyFont="1" applyBorder="1" applyAlignment="1">
      <alignment horizontal="center" vertical="center"/>
    </xf>
    <xf numFmtId="38" fontId="28" fillId="0" borderId="14" xfId="1" applyFont="1" applyBorder="1" applyAlignment="1">
      <alignment horizontal="center" vertical="center"/>
    </xf>
    <xf numFmtId="38" fontId="28" fillId="0" borderId="16" xfId="1" applyFont="1" applyBorder="1" applyAlignment="1">
      <alignment horizontal="center" vertical="center"/>
    </xf>
    <xf numFmtId="38" fontId="28" fillId="0" borderId="15" xfId="1" applyFont="1" applyBorder="1" applyAlignment="1">
      <alignment horizontal="center" vertical="center"/>
    </xf>
    <xf numFmtId="38" fontId="28" fillId="0" borderId="6" xfId="1" applyFont="1" applyBorder="1" applyAlignment="1">
      <alignment horizontal="center" vertical="center"/>
    </xf>
    <xf numFmtId="38" fontId="28" fillId="0" borderId="13" xfId="1" applyFont="1" applyBorder="1" applyAlignment="1">
      <alignment horizontal="center" vertical="center"/>
    </xf>
    <xf numFmtId="38" fontId="0" fillId="0" borderId="0" xfId="1" applyFont="1" applyAlignment="1">
      <alignment horizontal="center" vertical="center"/>
    </xf>
    <xf numFmtId="38" fontId="31" fillId="0" borderId="0" xfId="1" applyFont="1" applyBorder="1" applyAlignment="1">
      <alignment horizontal="center" vertical="center"/>
    </xf>
    <xf numFmtId="38" fontId="0" fillId="0" borderId="0" xfId="1" applyFont="1" applyBorder="1" applyAlignment="1">
      <alignment horizontal="center" vertical="center"/>
    </xf>
    <xf numFmtId="38" fontId="31" fillId="0" borderId="35" xfId="1" applyFont="1" applyBorder="1">
      <alignment vertical="center"/>
    </xf>
    <xf numFmtId="38" fontId="31" fillId="0" borderId="35" xfId="1" applyFont="1" applyBorder="1" applyAlignment="1">
      <alignment horizontal="center" vertical="center"/>
    </xf>
    <xf numFmtId="38" fontId="34" fillId="0" borderId="35" xfId="1" applyFont="1" applyBorder="1">
      <alignment vertical="center"/>
    </xf>
    <xf numFmtId="38" fontId="34" fillId="0" borderId="35" xfId="1" applyFont="1" applyBorder="1" applyAlignment="1">
      <alignment horizontal="center" vertical="center"/>
    </xf>
    <xf numFmtId="38" fontId="31" fillId="0" borderId="5" xfId="0" applyNumberFormat="1" applyFont="1" applyBorder="1">
      <alignment vertical="center"/>
    </xf>
    <xf numFmtId="0" fontId="16" fillId="0" borderId="0" xfId="0" applyFont="1">
      <alignment vertical="center"/>
    </xf>
    <xf numFmtId="179" fontId="16" fillId="0" borderId="0" xfId="0" applyNumberFormat="1" applyFont="1">
      <alignment vertical="center"/>
    </xf>
    <xf numFmtId="38" fontId="16" fillId="0" borderId="0" xfId="0" applyNumberFormat="1" applyFont="1">
      <alignment vertical="center"/>
    </xf>
    <xf numFmtId="38" fontId="13" fillId="0" borderId="5" xfId="1" applyFont="1" applyBorder="1" applyAlignment="1">
      <alignment horizontal="center" vertical="center"/>
    </xf>
    <xf numFmtId="38" fontId="13" fillId="0" borderId="35" xfId="1" applyFont="1" applyBorder="1" applyAlignment="1">
      <alignment horizontal="center" vertical="center"/>
    </xf>
    <xf numFmtId="38" fontId="36" fillId="0" borderId="35" xfId="0" applyNumberFormat="1" applyFont="1" applyBorder="1">
      <alignment vertical="center"/>
    </xf>
    <xf numFmtId="0" fontId="35" fillId="0" borderId="5" xfId="0" applyFont="1" applyBorder="1" applyAlignment="1">
      <alignment horizontal="center" vertical="center"/>
    </xf>
    <xf numFmtId="38" fontId="35" fillId="0" borderId="5" xfId="1" applyFont="1" applyBorder="1" applyAlignment="1">
      <alignment horizontal="center" vertical="center"/>
    </xf>
    <xf numFmtId="38" fontId="35" fillId="0" borderId="14" xfId="1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38" fontId="35" fillId="0" borderId="16" xfId="1" applyFont="1" applyBorder="1" applyAlignment="1">
      <alignment horizontal="center" vertical="center"/>
    </xf>
    <xf numFmtId="38" fontId="35" fillId="0" borderId="16" xfId="1" applyFont="1" applyBorder="1">
      <alignment vertical="center"/>
    </xf>
    <xf numFmtId="0" fontId="35" fillId="0" borderId="15" xfId="0" applyFont="1" applyBorder="1" applyAlignment="1">
      <alignment horizontal="center" vertical="center"/>
    </xf>
    <xf numFmtId="38" fontId="35" fillId="0" borderId="15" xfId="1" applyFont="1" applyBorder="1">
      <alignment vertical="center"/>
    </xf>
    <xf numFmtId="177" fontId="35" fillId="0" borderId="5" xfId="0" applyNumberFormat="1" applyFont="1" applyBorder="1" applyAlignment="1">
      <alignment horizontal="center" vertical="center"/>
    </xf>
    <xf numFmtId="178" fontId="35" fillId="0" borderId="16" xfId="0" applyNumberFormat="1" applyFont="1" applyBorder="1" applyAlignment="1">
      <alignment horizontal="center" vertical="center"/>
    </xf>
    <xf numFmtId="178" fontId="35" fillId="0" borderId="13" xfId="0" applyNumberFormat="1" applyFont="1" applyBorder="1" applyAlignment="1">
      <alignment horizontal="center" vertical="center" textRotation="255"/>
    </xf>
    <xf numFmtId="178" fontId="35" fillId="0" borderId="13" xfId="0" applyNumberFormat="1" applyFont="1" applyBorder="1" applyAlignment="1">
      <alignment vertical="center" textRotation="255"/>
    </xf>
    <xf numFmtId="178" fontId="35" fillId="0" borderId="17" xfId="0" applyNumberFormat="1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79" fontId="35" fillId="0" borderId="6" xfId="0" applyNumberFormat="1" applyFont="1" applyBorder="1" applyAlignment="1">
      <alignment horizontal="center" vertical="center"/>
    </xf>
    <xf numFmtId="177" fontId="35" fillId="0" borderId="1" xfId="0" applyNumberFormat="1" applyFont="1" applyBorder="1" applyAlignment="1">
      <alignment vertical="center" textRotation="255"/>
    </xf>
    <xf numFmtId="177" fontId="35" fillId="0" borderId="5" xfId="0" applyNumberFormat="1" applyFont="1" applyBorder="1">
      <alignment vertical="center"/>
    </xf>
    <xf numFmtId="178" fontId="35" fillId="0" borderId="16" xfId="0" applyNumberFormat="1" applyFont="1" applyBorder="1">
      <alignment vertical="center"/>
    </xf>
    <xf numFmtId="178" fontId="35" fillId="0" borderId="17" xfId="0" applyNumberFormat="1" applyFont="1" applyBorder="1">
      <alignment vertical="center"/>
    </xf>
    <xf numFmtId="177" fontId="35" fillId="0" borderId="1" xfId="0" applyNumberFormat="1" applyFont="1" applyBorder="1" applyAlignment="1">
      <alignment horizontal="center" vertical="center" textRotation="255"/>
    </xf>
    <xf numFmtId="0" fontId="35" fillId="0" borderId="1" xfId="0" applyFont="1" applyBorder="1">
      <alignment vertical="center"/>
    </xf>
    <xf numFmtId="38" fontId="35" fillId="0" borderId="15" xfId="1" applyFont="1" applyBorder="1" applyAlignment="1">
      <alignment horizontal="center" vertical="center"/>
    </xf>
    <xf numFmtId="0" fontId="35" fillId="0" borderId="0" xfId="0" applyFont="1">
      <alignment vertical="center"/>
    </xf>
    <xf numFmtId="38" fontId="35" fillId="0" borderId="14" xfId="1" applyFont="1" applyBorder="1">
      <alignment vertical="center"/>
    </xf>
    <xf numFmtId="38" fontId="35" fillId="0" borderId="6" xfId="1" applyFont="1" applyBorder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28" fillId="0" borderId="1" xfId="0" applyFont="1" applyBorder="1" applyAlignment="1">
      <alignment vertical="center" textRotation="255"/>
    </xf>
    <xf numFmtId="0" fontId="35" fillId="0" borderId="6" xfId="0" applyFont="1" applyBorder="1">
      <alignment vertical="center"/>
    </xf>
    <xf numFmtId="0" fontId="35" fillId="0" borderId="5" xfId="0" applyFont="1" applyBorder="1">
      <alignment vertical="center"/>
    </xf>
    <xf numFmtId="0" fontId="35" fillId="0" borderId="3" xfId="0" applyFont="1" applyBorder="1" applyAlignment="1">
      <alignment horizontal="center" vertical="center"/>
    </xf>
    <xf numFmtId="0" fontId="35" fillId="0" borderId="11" xfId="0" applyFont="1" applyBorder="1">
      <alignment vertical="center"/>
    </xf>
    <xf numFmtId="0" fontId="35" fillId="0" borderId="11" xfId="0" applyFont="1" applyBorder="1" applyAlignment="1">
      <alignment horizontal="center" vertical="center"/>
    </xf>
    <xf numFmtId="176" fontId="35" fillId="0" borderId="3" xfId="0" applyNumberFormat="1" applyFont="1" applyBorder="1">
      <alignment vertical="center"/>
    </xf>
    <xf numFmtId="0" fontId="35" fillId="0" borderId="3" xfId="0" applyFont="1" applyBorder="1">
      <alignment vertical="center"/>
    </xf>
    <xf numFmtId="176" fontId="35" fillId="0" borderId="11" xfId="0" applyNumberFormat="1" applyFont="1" applyBorder="1">
      <alignment vertical="center"/>
    </xf>
    <xf numFmtId="0" fontId="35" fillId="0" borderId="1" xfId="0" applyFont="1" applyBorder="1" applyAlignment="1">
      <alignment horizontal="center" vertical="center" textRotation="255"/>
    </xf>
    <xf numFmtId="0" fontId="35" fillId="0" borderId="1" xfId="0" applyFont="1" applyBorder="1" applyAlignment="1">
      <alignment horizontal="center" vertical="center" textRotation="255" shrinkToFit="1"/>
    </xf>
    <xf numFmtId="0" fontId="35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vertical="center" textRotation="255"/>
    </xf>
    <xf numFmtId="0" fontId="10" fillId="0" borderId="3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35" fillId="0" borderId="18" xfId="0" applyFont="1" applyBorder="1">
      <alignment vertical="center"/>
    </xf>
    <xf numFmtId="0" fontId="35" fillId="0" borderId="10" xfId="0" applyFont="1" applyBorder="1">
      <alignment vertical="center"/>
    </xf>
    <xf numFmtId="0" fontId="39" fillId="0" borderId="0" xfId="0" applyFont="1">
      <alignment vertical="center"/>
    </xf>
    <xf numFmtId="0" fontId="0" fillId="0" borderId="31" xfId="0" applyBorder="1" applyAlignment="1">
      <alignment horizontal="center" vertical="center"/>
    </xf>
    <xf numFmtId="49" fontId="0" fillId="0" borderId="0" xfId="0" applyNumberFormat="1">
      <alignment vertical="center"/>
    </xf>
    <xf numFmtId="49" fontId="35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7" fillId="0" borderId="0" xfId="0" applyFont="1">
      <alignment vertical="center"/>
    </xf>
    <xf numFmtId="0" fontId="35" fillId="0" borderId="2" xfId="0" applyFont="1" applyBorder="1" applyAlignment="1">
      <alignment horizontal="right" vertical="center"/>
    </xf>
    <xf numFmtId="0" fontId="35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22" fillId="0" borderId="1" xfId="0" applyFont="1" applyBorder="1">
      <alignment vertical="center"/>
    </xf>
    <xf numFmtId="3" fontId="22" fillId="0" borderId="1" xfId="0" applyNumberFormat="1" applyFont="1" applyBorder="1">
      <alignment vertical="center"/>
    </xf>
    <xf numFmtId="38" fontId="22" fillId="0" borderId="1" xfId="1" applyFont="1" applyBorder="1">
      <alignment vertical="center"/>
    </xf>
    <xf numFmtId="0" fontId="0" fillId="0" borderId="19" xfId="0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8" fontId="2" fillId="0" borderId="19" xfId="1" applyFont="1" applyBorder="1" applyAlignment="1">
      <alignment horizontal="center" vertical="center"/>
    </xf>
    <xf numFmtId="38" fontId="2" fillId="0" borderId="16" xfId="1" applyFont="1" applyBorder="1" applyAlignment="1">
      <alignment horizontal="center" vertical="center"/>
    </xf>
    <xf numFmtId="38" fontId="2" fillId="0" borderId="14" xfId="1" applyFont="1" applyBorder="1" applyAlignment="1">
      <alignment horizontal="center" vertical="center"/>
    </xf>
    <xf numFmtId="38" fontId="2" fillId="0" borderId="15" xfId="1" applyFont="1" applyBorder="1" applyAlignment="1">
      <alignment horizontal="center" vertical="center"/>
    </xf>
    <xf numFmtId="38" fontId="2" fillId="0" borderId="6" xfId="1" applyFont="1" applyBorder="1" applyAlignment="1">
      <alignment horizontal="center" vertical="center"/>
    </xf>
    <xf numFmtId="38" fontId="2" fillId="0" borderId="12" xfId="1" applyFont="1" applyBorder="1" applyAlignment="1">
      <alignment horizontal="center" vertical="center"/>
    </xf>
    <xf numFmtId="38" fontId="2" fillId="0" borderId="38" xfId="1" applyFont="1" applyBorder="1" applyAlignment="1">
      <alignment horizontal="center" vertical="center"/>
    </xf>
    <xf numFmtId="38" fontId="2" fillId="0" borderId="24" xfId="1" applyFont="1" applyBorder="1" applyAlignment="1">
      <alignment horizontal="center" vertical="center"/>
    </xf>
    <xf numFmtId="38" fontId="2" fillId="0" borderId="17" xfId="1" applyFont="1" applyBorder="1" applyAlignment="1">
      <alignment horizontal="center" vertical="center"/>
    </xf>
    <xf numFmtId="38" fontId="2" fillId="0" borderId="13" xfId="1" applyFont="1" applyBorder="1" applyAlignment="1">
      <alignment horizontal="center" vertical="center"/>
    </xf>
    <xf numFmtId="38" fontId="5" fillId="0" borderId="40" xfId="1" applyFont="1" applyBorder="1">
      <alignment vertical="center"/>
    </xf>
    <xf numFmtId="0" fontId="28" fillId="0" borderId="3" xfId="0" applyFont="1" applyBorder="1" applyAlignment="1">
      <alignment horizontal="center" vertical="center"/>
    </xf>
    <xf numFmtId="38" fontId="35" fillId="0" borderId="11" xfId="1" applyFont="1" applyBorder="1" applyAlignment="1">
      <alignment horizontal="center" vertical="center"/>
    </xf>
    <xf numFmtId="38" fontId="13" fillId="0" borderId="35" xfId="1" applyFont="1" applyBorder="1">
      <alignment vertical="center"/>
    </xf>
    <xf numFmtId="0" fontId="5" fillId="2" borderId="0" xfId="0" applyFont="1" applyFill="1">
      <alignment vertical="center"/>
    </xf>
    <xf numFmtId="0" fontId="0" fillId="2" borderId="3" xfId="0" applyFill="1" applyBorder="1">
      <alignment vertical="center"/>
    </xf>
    <xf numFmtId="0" fontId="0" fillId="2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2" borderId="19" xfId="0" applyFont="1" applyFill="1" applyBorder="1">
      <alignment vertical="center"/>
    </xf>
    <xf numFmtId="0" fontId="0" fillId="2" borderId="12" xfId="0" applyFill="1" applyBorder="1">
      <alignment vertical="center"/>
    </xf>
    <xf numFmtId="0" fontId="0" fillId="2" borderId="8" xfId="0" applyFill="1" applyBorder="1">
      <alignment vertical="center"/>
    </xf>
    <xf numFmtId="0" fontId="20" fillId="2" borderId="11" xfId="0" applyFont="1" applyFill="1" applyBorder="1">
      <alignment vertical="center"/>
    </xf>
    <xf numFmtId="0" fontId="35" fillId="2" borderId="3" xfId="0" applyFont="1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35" fillId="2" borderId="8" xfId="0" applyFont="1" applyFill="1" applyBorder="1" applyAlignment="1">
      <alignment horizontal="center" vertical="center"/>
    </xf>
    <xf numFmtId="0" fontId="35" fillId="2" borderId="19" xfId="0" applyFont="1" applyFill="1" applyBorder="1">
      <alignment vertical="center"/>
    </xf>
    <xf numFmtId="0" fontId="35" fillId="2" borderId="12" xfId="0" applyFont="1" applyFill="1" applyBorder="1">
      <alignment vertical="center"/>
    </xf>
    <xf numFmtId="0" fontId="0" fillId="2" borderId="33" xfId="0" applyFill="1" applyBorder="1" applyAlignment="1">
      <alignment horizontal="center" vertical="center"/>
    </xf>
    <xf numFmtId="0" fontId="13" fillId="2" borderId="26" xfId="0" applyFont="1" applyFill="1" applyBorder="1" applyAlignment="1"/>
    <xf numFmtId="0" fontId="2" fillId="2" borderId="26" xfId="0" applyFont="1" applyFill="1" applyBorder="1" applyAlignment="1">
      <alignment vertical="top"/>
    </xf>
    <xf numFmtId="0" fontId="2" fillId="2" borderId="27" xfId="0" applyFont="1" applyFill="1" applyBorder="1" applyAlignment="1">
      <alignment vertical="top"/>
    </xf>
    <xf numFmtId="49" fontId="20" fillId="0" borderId="0" xfId="0" applyNumberFormat="1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38" fontId="35" fillId="0" borderId="13" xfId="1" applyFont="1" applyBorder="1">
      <alignment vertical="center"/>
    </xf>
    <xf numFmtId="182" fontId="35" fillId="0" borderId="1" xfId="0" applyNumberFormat="1" applyFont="1" applyBorder="1" applyAlignment="1">
      <alignment horizontal="center" vertical="center" wrapText="1"/>
    </xf>
    <xf numFmtId="178" fontId="35" fillId="0" borderId="13" xfId="0" applyNumberFormat="1" applyFont="1" applyBorder="1">
      <alignment vertical="center"/>
    </xf>
    <xf numFmtId="0" fontId="5" fillId="0" borderId="6" xfId="0" applyFont="1" applyBorder="1">
      <alignment vertical="center"/>
    </xf>
    <xf numFmtId="0" fontId="32" fillId="0" borderId="13" xfId="0" applyFont="1" applyBorder="1" applyAlignment="1">
      <alignment vertical="center" textRotation="255"/>
    </xf>
    <xf numFmtId="177" fontId="35" fillId="0" borderId="30" xfId="0" applyNumberFormat="1" applyFont="1" applyBorder="1">
      <alignment vertical="center"/>
    </xf>
    <xf numFmtId="0" fontId="32" fillId="0" borderId="30" xfId="0" applyFont="1" applyBorder="1" applyAlignment="1">
      <alignment vertical="center" textRotation="255"/>
    </xf>
    <xf numFmtId="0" fontId="0" fillId="0" borderId="41" xfId="0" applyBorder="1">
      <alignment vertical="center"/>
    </xf>
    <xf numFmtId="38" fontId="2" fillId="0" borderId="16" xfId="1" applyFont="1" applyBorder="1">
      <alignment vertical="center"/>
    </xf>
    <xf numFmtId="38" fontId="2" fillId="0" borderId="13" xfId="1" applyFont="1" applyBorder="1">
      <alignment vertical="center"/>
    </xf>
    <xf numFmtId="38" fontId="2" fillId="0" borderId="6" xfId="1" applyFont="1" applyBorder="1">
      <alignment vertical="center"/>
    </xf>
    <xf numFmtId="0" fontId="40" fillId="0" borderId="1" xfId="0" applyFont="1" applyBorder="1" applyAlignment="1">
      <alignment horizontal="center" vertical="center"/>
    </xf>
    <xf numFmtId="38" fontId="31" fillId="0" borderId="0" xfId="1" applyFont="1">
      <alignment vertical="center"/>
    </xf>
    <xf numFmtId="0" fontId="13" fillId="0" borderId="22" xfId="0" applyFont="1" applyBorder="1" applyAlignment="1"/>
    <xf numFmtId="179" fontId="2" fillId="0" borderId="19" xfId="0" applyNumberFormat="1" applyFont="1" applyBorder="1" applyAlignment="1">
      <alignment horizontal="center" vertical="center"/>
    </xf>
    <xf numFmtId="38" fontId="5" fillId="0" borderId="40" xfId="1" applyFont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22" xfId="0" applyBorder="1">
      <alignment vertical="center"/>
    </xf>
    <xf numFmtId="179" fontId="2" fillId="0" borderId="13" xfId="0" applyNumberFormat="1" applyFont="1" applyBorder="1" applyAlignment="1">
      <alignment horizontal="center" vertical="center"/>
    </xf>
    <xf numFmtId="179" fontId="2" fillId="0" borderId="18" xfId="0" applyNumberFormat="1" applyFont="1" applyBorder="1" applyAlignment="1">
      <alignment horizontal="center" vertical="center"/>
    </xf>
    <xf numFmtId="38" fontId="2" fillId="0" borderId="43" xfId="1" applyFont="1" applyBorder="1" applyAlignment="1">
      <alignment horizontal="center" vertical="center"/>
    </xf>
    <xf numFmtId="38" fontId="2" fillId="0" borderId="44" xfId="1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38" fontId="2" fillId="0" borderId="49" xfId="1" applyFont="1" applyBorder="1" applyAlignment="1">
      <alignment horizontal="center" vertical="center"/>
    </xf>
    <xf numFmtId="38" fontId="2" fillId="0" borderId="42" xfId="1" applyFont="1" applyBorder="1" applyAlignment="1">
      <alignment horizontal="center" vertical="center"/>
    </xf>
    <xf numFmtId="179" fontId="2" fillId="0" borderId="3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179" fontId="2" fillId="0" borderId="51" xfId="0" applyNumberFormat="1" applyFont="1" applyBorder="1" applyAlignment="1">
      <alignment horizontal="center" vertical="center"/>
    </xf>
    <xf numFmtId="38" fontId="2" fillId="0" borderId="53" xfId="1" applyFont="1" applyBorder="1" applyAlignment="1">
      <alignment horizontal="center" vertical="center"/>
    </xf>
    <xf numFmtId="38" fontId="2" fillId="0" borderId="50" xfId="1" applyFont="1" applyBorder="1" applyAlignment="1">
      <alignment horizontal="center" vertical="center"/>
    </xf>
    <xf numFmtId="38" fontId="2" fillId="0" borderId="54" xfId="1" applyFont="1" applyBorder="1" applyAlignment="1">
      <alignment horizontal="center" vertical="center"/>
    </xf>
    <xf numFmtId="38" fontId="35" fillId="0" borderId="3" xfId="1" applyFont="1" applyBorder="1">
      <alignment vertical="center"/>
    </xf>
    <xf numFmtId="38" fontId="35" fillId="0" borderId="6" xfId="1" applyFont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38" fontId="35" fillId="0" borderId="3" xfId="1" applyFont="1" applyBorder="1" applyAlignment="1">
      <alignment horizontal="center" vertical="center"/>
    </xf>
    <xf numFmtId="38" fontId="35" fillId="0" borderId="0" xfId="1" applyFont="1" applyBorder="1">
      <alignment vertical="center"/>
    </xf>
    <xf numFmtId="49" fontId="35" fillId="0" borderId="13" xfId="0" applyNumberFormat="1" applyFont="1" applyBorder="1" applyAlignment="1">
      <alignment horizontal="center" vertical="center"/>
    </xf>
    <xf numFmtId="178" fontId="7" fillId="0" borderId="13" xfId="0" applyNumberFormat="1" applyFont="1" applyBorder="1" applyAlignment="1">
      <alignment horizontal="center" vertical="center"/>
    </xf>
    <xf numFmtId="178" fontId="35" fillId="0" borderId="13" xfId="0" applyNumberFormat="1" applyFont="1" applyBorder="1" applyAlignment="1">
      <alignment horizontal="center" vertical="center"/>
    </xf>
    <xf numFmtId="179" fontId="35" fillId="0" borderId="13" xfId="0" applyNumberFormat="1" applyFont="1" applyBorder="1" applyAlignment="1">
      <alignment horizontal="center" vertical="center"/>
    </xf>
    <xf numFmtId="177" fontId="35" fillId="0" borderId="13" xfId="0" applyNumberFormat="1" applyFont="1" applyBorder="1" applyAlignment="1">
      <alignment vertical="center" textRotation="255"/>
    </xf>
    <xf numFmtId="38" fontId="35" fillId="0" borderId="13" xfId="1" applyFont="1" applyBorder="1" applyAlignment="1">
      <alignment horizontal="center" vertical="center"/>
    </xf>
    <xf numFmtId="38" fontId="5" fillId="0" borderId="13" xfId="1" applyFont="1" applyBorder="1">
      <alignment vertical="center"/>
    </xf>
    <xf numFmtId="0" fontId="13" fillId="0" borderId="0" xfId="0" applyFont="1">
      <alignment vertical="center"/>
    </xf>
    <xf numFmtId="177" fontId="7" fillId="0" borderId="6" xfId="0" applyNumberFormat="1" applyFont="1" applyBorder="1" applyAlignment="1">
      <alignment vertical="center" textRotation="255"/>
    </xf>
    <xf numFmtId="0" fontId="35" fillId="0" borderId="38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38" fontId="35" fillId="0" borderId="8" xfId="1" applyFont="1" applyBorder="1">
      <alignment vertical="center"/>
    </xf>
    <xf numFmtId="38" fontId="2" fillId="0" borderId="1" xfId="1" applyFont="1" applyBorder="1" applyAlignment="1">
      <alignment horizontal="center" vertical="center"/>
    </xf>
    <xf numFmtId="38" fontId="35" fillId="0" borderId="26" xfId="1" applyFont="1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0" fillId="0" borderId="25" xfId="0" applyBorder="1">
      <alignment vertical="center"/>
    </xf>
    <xf numFmtId="0" fontId="28" fillId="0" borderId="33" xfId="0" applyFont="1" applyBorder="1" applyAlignment="1">
      <alignment horizontal="center" vertical="center"/>
    </xf>
    <xf numFmtId="0" fontId="0" fillId="0" borderId="0" xfId="0" applyAlignment="1"/>
    <xf numFmtId="0" fontId="7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8" fontId="2" fillId="0" borderId="0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38" fontId="37" fillId="0" borderId="0" xfId="1" applyFont="1" applyBorder="1">
      <alignment vertical="center"/>
    </xf>
    <xf numFmtId="38" fontId="38" fillId="0" borderId="0" xfId="1" applyFont="1" applyBorder="1" applyAlignment="1">
      <alignment horizontal="center" vertical="center"/>
    </xf>
    <xf numFmtId="0" fontId="32" fillId="0" borderId="0" xfId="0" applyFont="1" applyAlignment="1">
      <alignment horizontal="center" vertical="center" textRotation="255"/>
    </xf>
    <xf numFmtId="0" fontId="0" fillId="0" borderId="13" xfId="0" applyBorder="1">
      <alignment vertical="center"/>
    </xf>
    <xf numFmtId="38" fontId="28" fillId="0" borderId="3" xfId="1" applyFont="1" applyBorder="1" applyAlignment="1">
      <alignment horizontal="center" vertical="center"/>
    </xf>
    <xf numFmtId="38" fontId="28" fillId="0" borderId="3" xfId="1" applyFont="1" applyBorder="1">
      <alignment vertical="center"/>
    </xf>
    <xf numFmtId="38" fontId="28" fillId="0" borderId="0" xfId="1" applyFont="1" applyBorder="1">
      <alignment vertical="center"/>
    </xf>
    <xf numFmtId="38" fontId="38" fillId="0" borderId="3" xfId="1" applyFont="1" applyBorder="1" applyAlignment="1">
      <alignment horizontal="center" vertical="center"/>
    </xf>
    <xf numFmtId="38" fontId="41" fillId="0" borderId="22" xfId="1" applyFont="1" applyBorder="1" applyAlignment="1">
      <alignment vertical="center"/>
    </xf>
    <xf numFmtId="38" fontId="41" fillId="0" borderId="35" xfId="1" applyFont="1" applyBorder="1" applyAlignment="1">
      <alignment horizontal="center" vertical="center"/>
    </xf>
    <xf numFmtId="38" fontId="41" fillId="0" borderId="68" xfId="1" applyFont="1" applyBorder="1" applyAlignment="1">
      <alignment horizontal="center" vertical="center"/>
    </xf>
    <xf numFmtId="38" fontId="37" fillId="0" borderId="5" xfId="1" applyFont="1" applyBorder="1" applyAlignment="1">
      <alignment horizontal="center" vertical="center"/>
    </xf>
    <xf numFmtId="38" fontId="37" fillId="0" borderId="14" xfId="1" applyFont="1" applyBorder="1" applyAlignment="1">
      <alignment horizontal="center" vertical="center"/>
    </xf>
    <xf numFmtId="38" fontId="37" fillId="0" borderId="16" xfId="1" applyFont="1" applyBorder="1" applyAlignment="1">
      <alignment horizontal="center" vertical="center"/>
    </xf>
    <xf numFmtId="38" fontId="37" fillId="0" borderId="15" xfId="1" applyFont="1" applyBorder="1" applyAlignment="1">
      <alignment horizontal="center" vertical="center"/>
    </xf>
    <xf numFmtId="38" fontId="37" fillId="0" borderId="3" xfId="1" applyFont="1" applyBorder="1" applyAlignment="1">
      <alignment horizontal="center" vertical="center"/>
    </xf>
    <xf numFmtId="38" fontId="2" fillId="0" borderId="32" xfId="1" applyFont="1" applyBorder="1" applyAlignment="1">
      <alignment horizontal="center" vertical="center"/>
    </xf>
    <xf numFmtId="38" fontId="2" fillId="0" borderId="20" xfId="1" applyFont="1" applyBorder="1" applyAlignment="1">
      <alignment horizontal="center" vertical="center"/>
    </xf>
    <xf numFmtId="38" fontId="2" fillId="0" borderId="21" xfId="1" applyFont="1" applyBorder="1" applyAlignment="1">
      <alignment horizontal="center" vertical="center"/>
    </xf>
    <xf numFmtId="38" fontId="2" fillId="0" borderId="71" xfId="1" applyFont="1" applyBorder="1" applyAlignment="1">
      <alignment horizontal="center" vertical="center"/>
    </xf>
    <xf numFmtId="38" fontId="2" fillId="0" borderId="20" xfId="1" applyFont="1" applyBorder="1">
      <alignment vertical="center"/>
    </xf>
    <xf numFmtId="38" fontId="2" fillId="0" borderId="32" xfId="1" applyFont="1" applyBorder="1">
      <alignment vertical="center"/>
    </xf>
    <xf numFmtId="38" fontId="2" fillId="0" borderId="21" xfId="1" applyFont="1" applyBorder="1">
      <alignment vertical="center"/>
    </xf>
    <xf numFmtId="38" fontId="35" fillId="0" borderId="32" xfId="1" applyFont="1" applyBorder="1">
      <alignment vertical="center"/>
    </xf>
    <xf numFmtId="38" fontId="35" fillId="0" borderId="20" xfId="1" applyFont="1" applyBorder="1">
      <alignment vertical="center"/>
    </xf>
    <xf numFmtId="38" fontId="28" fillId="0" borderId="21" xfId="1" applyFont="1" applyBorder="1" applyAlignment="1">
      <alignment horizontal="center" vertical="center"/>
    </xf>
    <xf numFmtId="38" fontId="28" fillId="0" borderId="20" xfId="1" applyFont="1" applyBorder="1" applyAlignment="1">
      <alignment horizontal="center" vertical="center"/>
    </xf>
    <xf numFmtId="38" fontId="28" fillId="0" borderId="49" xfId="1" applyFont="1" applyBorder="1" applyAlignment="1">
      <alignment horizontal="center" vertical="center"/>
    </xf>
    <xf numFmtId="38" fontId="28" fillId="0" borderId="32" xfId="1" applyFont="1" applyBorder="1" applyAlignment="1">
      <alignment horizontal="center" vertical="center"/>
    </xf>
    <xf numFmtId="38" fontId="28" fillId="0" borderId="21" xfId="1" applyFont="1" applyBorder="1">
      <alignment vertical="center"/>
    </xf>
    <xf numFmtId="38" fontId="28" fillId="0" borderId="49" xfId="1" applyFont="1" applyBorder="1">
      <alignment vertical="center"/>
    </xf>
    <xf numFmtId="38" fontId="28" fillId="0" borderId="20" xfId="1" applyFont="1" applyBorder="1">
      <alignment vertical="center"/>
    </xf>
    <xf numFmtId="38" fontId="28" fillId="0" borderId="32" xfId="1" applyFont="1" applyBorder="1">
      <alignment vertical="center"/>
    </xf>
    <xf numFmtId="38" fontId="2" fillId="0" borderId="72" xfId="1" applyFont="1" applyBorder="1" applyAlignment="1">
      <alignment horizontal="center" vertical="center"/>
    </xf>
    <xf numFmtId="177" fontId="35" fillId="0" borderId="1" xfId="0" applyNumberFormat="1" applyFont="1" applyBorder="1" applyAlignment="1">
      <alignment vertical="center" textRotation="255" wrapText="1"/>
    </xf>
    <xf numFmtId="0" fontId="6" fillId="0" borderId="0" xfId="0" applyFont="1" applyAlignment="1"/>
    <xf numFmtId="38" fontId="6" fillId="0" borderId="26" xfId="1" applyFont="1" applyBorder="1">
      <alignment vertical="center"/>
    </xf>
    <xf numFmtId="38" fontId="6" fillId="0" borderId="0" xfId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>
      <alignment vertical="center"/>
    </xf>
    <xf numFmtId="38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3" fillId="0" borderId="0" xfId="0" applyNumberFormat="1" applyFont="1">
      <alignment vertical="center"/>
    </xf>
    <xf numFmtId="0" fontId="6" fillId="0" borderId="0" xfId="0" applyFont="1" applyAlignment="1">
      <alignment horizontal="center" vertical="center" shrinkToFit="1"/>
    </xf>
    <xf numFmtId="183" fontId="2" fillId="0" borderId="30" xfId="1" applyNumberFormat="1" applyFont="1" applyBorder="1" applyAlignment="1">
      <alignment horizontal="center" vertical="center"/>
    </xf>
    <xf numFmtId="181" fontId="2" fillId="0" borderId="9" xfId="1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8" fontId="35" fillId="0" borderId="8" xfId="1" applyFont="1" applyBorder="1" applyAlignment="1">
      <alignment horizontal="center" vertical="center"/>
    </xf>
    <xf numFmtId="38" fontId="35" fillId="0" borderId="0" xfId="1" applyFont="1" applyBorder="1" applyAlignment="1">
      <alignment horizontal="center" vertical="center"/>
    </xf>
    <xf numFmtId="38" fontId="28" fillId="0" borderId="8" xfId="1" applyFont="1" applyBorder="1">
      <alignment vertical="center"/>
    </xf>
    <xf numFmtId="0" fontId="13" fillId="0" borderId="8" xfId="0" applyFont="1" applyBorder="1">
      <alignment vertical="center"/>
    </xf>
    <xf numFmtId="0" fontId="28" fillId="0" borderId="67" xfId="0" applyFont="1" applyBorder="1" applyAlignment="1">
      <alignment horizontal="center" vertical="center"/>
    </xf>
    <xf numFmtId="38" fontId="13" fillId="0" borderId="76" xfId="1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38" fontId="5" fillId="0" borderId="52" xfId="1" applyFont="1" applyBorder="1">
      <alignment vertical="center"/>
    </xf>
    <xf numFmtId="38" fontId="5" fillId="0" borderId="26" xfId="1" applyFont="1" applyBorder="1">
      <alignment vertical="center"/>
    </xf>
    <xf numFmtId="0" fontId="0" fillId="0" borderId="26" xfId="0" applyBorder="1">
      <alignment vertical="center"/>
    </xf>
    <xf numFmtId="0" fontId="28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179" fontId="16" fillId="0" borderId="6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vertical="center" textRotation="255"/>
    </xf>
    <xf numFmtId="180" fontId="22" fillId="0" borderId="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20" fontId="28" fillId="0" borderId="2" xfId="0" applyNumberFormat="1" applyFont="1" applyBorder="1" applyAlignment="1">
      <alignment horizontal="center" vertical="center"/>
    </xf>
    <xf numFmtId="20" fontId="35" fillId="0" borderId="3" xfId="0" applyNumberFormat="1" applyFont="1" applyBorder="1" applyAlignment="1">
      <alignment horizontal="center" vertical="center"/>
    </xf>
    <xf numFmtId="20" fontId="35" fillId="0" borderId="4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20" fontId="28" fillId="0" borderId="3" xfId="0" applyNumberFormat="1" applyFont="1" applyBorder="1" applyAlignment="1">
      <alignment horizontal="center" vertical="center"/>
    </xf>
    <xf numFmtId="20" fontId="28" fillId="0" borderId="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8" fillId="0" borderId="1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shrinkToFit="1"/>
    </xf>
    <xf numFmtId="0" fontId="10" fillId="0" borderId="3" xfId="0" applyFont="1" applyBorder="1" applyAlignment="1">
      <alignment vertical="center" shrinkToFit="1"/>
    </xf>
    <xf numFmtId="0" fontId="10" fillId="0" borderId="4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176" fontId="35" fillId="0" borderId="5" xfId="0" applyNumberFormat="1" applyFont="1" applyBorder="1" applyAlignment="1">
      <alignment horizontal="center" vertical="center" textRotation="255"/>
    </xf>
    <xf numFmtId="176" fontId="35" fillId="0" borderId="6" xfId="0" applyNumberFormat="1" applyFont="1" applyBorder="1" applyAlignment="1">
      <alignment horizontal="center" vertical="center" textRotation="255"/>
    </xf>
    <xf numFmtId="0" fontId="31" fillId="0" borderId="5" xfId="0" applyFont="1" applyBorder="1" applyAlignment="1">
      <alignment horizontal="center" vertical="center" textRotation="255"/>
    </xf>
    <xf numFmtId="0" fontId="32" fillId="0" borderId="6" xfId="0" applyFont="1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5" fillId="0" borderId="5" xfId="0" applyFont="1" applyBorder="1" applyAlignment="1">
      <alignment vertical="center" textRotation="255"/>
    </xf>
    <xf numFmtId="0" fontId="35" fillId="0" borderId="13" xfId="0" applyFont="1" applyBorder="1" applyAlignment="1">
      <alignment vertical="center" textRotation="255"/>
    </xf>
    <xf numFmtId="0" fontId="35" fillId="0" borderId="6" xfId="0" applyFont="1" applyBorder="1" applyAlignment="1">
      <alignment vertical="center" textRotation="255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35" fillId="2" borderId="6" xfId="0" applyFont="1" applyFill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5" fillId="2" borderId="6" xfId="0" applyFont="1" applyFill="1" applyBorder="1" applyAlignment="1">
      <alignment horizontal="center" vertical="center"/>
    </xf>
    <xf numFmtId="38" fontId="13" fillId="0" borderId="5" xfId="1" applyFont="1" applyBorder="1" applyAlignment="1">
      <alignment vertical="center"/>
    </xf>
    <xf numFmtId="38" fontId="13" fillId="0" borderId="13" xfId="1" applyFont="1" applyBorder="1" applyAlignment="1">
      <alignment vertical="center"/>
    </xf>
    <xf numFmtId="0" fontId="13" fillId="0" borderId="6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2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 textRotation="255"/>
    </xf>
    <xf numFmtId="0" fontId="0" fillId="0" borderId="13" xfId="0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3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top"/>
    </xf>
    <xf numFmtId="0" fontId="22" fillId="0" borderId="26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38" fontId="5" fillId="0" borderId="0" xfId="1" applyFont="1" applyBorder="1" applyAlignment="1">
      <alignment vertical="center"/>
    </xf>
    <xf numFmtId="38" fontId="5" fillId="0" borderId="33" xfId="1" applyFont="1" applyBorder="1" applyAlignment="1">
      <alignment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38" fontId="5" fillId="0" borderId="5" xfId="1" applyFont="1" applyBorder="1" applyAlignment="1">
      <alignment vertical="center"/>
    </xf>
    <xf numFmtId="38" fontId="5" fillId="0" borderId="13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7" fillId="0" borderId="73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28" fillId="2" borderId="63" xfId="0" applyFont="1" applyFill="1" applyBorder="1" applyAlignment="1">
      <alignment horizontal="center" vertical="center" textRotation="255"/>
    </xf>
    <xf numFmtId="0" fontId="28" fillId="2" borderId="64" xfId="0" applyFont="1" applyFill="1" applyBorder="1" applyAlignment="1">
      <alignment horizontal="center" vertical="center" textRotation="255"/>
    </xf>
    <xf numFmtId="0" fontId="28" fillId="2" borderId="65" xfId="0" applyFont="1" applyFill="1" applyBorder="1" applyAlignment="1">
      <alignment horizontal="center" vertical="center" textRotation="255"/>
    </xf>
    <xf numFmtId="0" fontId="35" fillId="0" borderId="10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49" fontId="35" fillId="0" borderId="55" xfId="0" applyNumberFormat="1" applyFont="1" applyBorder="1" applyAlignment="1">
      <alignment horizontal="center" vertical="center"/>
    </xf>
    <xf numFmtId="49" fontId="35" fillId="0" borderId="56" xfId="0" applyNumberFormat="1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textRotation="255"/>
    </xf>
    <xf numFmtId="0" fontId="7" fillId="0" borderId="4" xfId="0" applyFont="1" applyBorder="1" applyAlignment="1">
      <alignment horizontal="center" vertical="center" textRotation="255"/>
    </xf>
    <xf numFmtId="0" fontId="25" fillId="0" borderId="0" xfId="0" applyFont="1" applyAlignment="1">
      <alignment horizontal="center" vertical="center"/>
    </xf>
    <xf numFmtId="38" fontId="35" fillId="0" borderId="36" xfId="1" applyFont="1" applyBorder="1" applyAlignment="1">
      <alignment horizontal="center" vertical="center"/>
    </xf>
    <xf numFmtId="38" fontId="35" fillId="0" borderId="37" xfId="1" applyFont="1" applyBorder="1" applyAlignment="1">
      <alignment horizontal="center" vertical="center"/>
    </xf>
    <xf numFmtId="38" fontId="41" fillId="0" borderId="36" xfId="1" applyFont="1" applyBorder="1" applyAlignment="1">
      <alignment horizontal="center" vertical="center"/>
    </xf>
    <xf numFmtId="38" fontId="41" fillId="0" borderId="37" xfId="1" applyFont="1" applyBorder="1" applyAlignment="1">
      <alignment horizontal="center" vertical="center"/>
    </xf>
    <xf numFmtId="38" fontId="41" fillId="0" borderId="0" xfId="1" applyFont="1" applyBorder="1" applyAlignment="1">
      <alignment horizontal="center" vertical="center"/>
    </xf>
    <xf numFmtId="38" fontId="41" fillId="0" borderId="26" xfId="1" applyFont="1" applyBorder="1" applyAlignment="1">
      <alignment horizontal="center" vertical="center"/>
    </xf>
    <xf numFmtId="0" fontId="35" fillId="0" borderId="19" xfId="0" applyFont="1" applyBorder="1">
      <alignment vertical="center"/>
    </xf>
    <xf numFmtId="0" fontId="28" fillId="2" borderId="19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/>
    </xf>
    <xf numFmtId="38" fontId="35" fillId="0" borderId="66" xfId="1" applyFont="1" applyBorder="1" applyAlignment="1">
      <alignment horizontal="center" vertical="center"/>
    </xf>
    <xf numFmtId="38" fontId="35" fillId="0" borderId="52" xfId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38" fontId="28" fillId="0" borderId="33" xfId="1" applyFont="1" applyBorder="1" applyAlignment="1">
      <alignment horizontal="center" vertical="center"/>
    </xf>
    <xf numFmtId="38" fontId="35" fillId="0" borderId="33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32" fillId="0" borderId="13" xfId="0" applyFont="1" applyBorder="1" applyAlignment="1">
      <alignment horizontal="center" vertical="center" textRotation="255"/>
    </xf>
    <xf numFmtId="0" fontId="35" fillId="0" borderId="69" xfId="0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textRotation="255"/>
    </xf>
    <xf numFmtId="0" fontId="21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textRotation="255"/>
    </xf>
    <xf numFmtId="38" fontId="38" fillId="0" borderId="5" xfId="1" applyFont="1" applyBorder="1" applyAlignment="1">
      <alignment horizontal="center" vertical="center"/>
    </xf>
    <xf numFmtId="38" fontId="38" fillId="0" borderId="13" xfId="1" applyFont="1" applyBorder="1" applyAlignment="1">
      <alignment horizontal="center" vertical="center"/>
    </xf>
    <xf numFmtId="38" fontId="38" fillId="0" borderId="6" xfId="1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8" fontId="28" fillId="0" borderId="11" xfId="1" applyFont="1" applyFill="1" applyBorder="1" applyAlignment="1">
      <alignment horizontal="center" vertical="center"/>
    </xf>
    <xf numFmtId="38" fontId="35" fillId="0" borderId="11" xfId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9"/>
  <sheetViews>
    <sheetView topLeftCell="A4" workbookViewId="0">
      <selection activeCell="X21" sqref="X21"/>
    </sheetView>
  </sheetViews>
  <sheetFormatPr defaultRowHeight="17.25" x14ac:dyDescent="0.15"/>
  <cols>
    <col min="1" max="1" width="1.875" customWidth="1"/>
    <col min="2" max="2" width="7.125" customWidth="1"/>
    <col min="3" max="3" width="19.375" customWidth="1"/>
    <col min="4" max="4" width="6.5" style="5" customWidth="1"/>
    <col min="5" max="5" width="6.5" style="2" customWidth="1"/>
    <col min="6" max="6" width="6.5" style="4" customWidth="1"/>
    <col min="7" max="7" width="11.125" style="10" customWidth="1"/>
    <col min="8" max="12" width="5" customWidth="1"/>
    <col min="13" max="16" width="11.75" style="136" customWidth="1"/>
    <col min="17" max="17" width="11.5" customWidth="1"/>
    <col min="18" max="18" width="14.5" style="2" customWidth="1"/>
    <col min="19" max="19" width="1.375" customWidth="1"/>
  </cols>
  <sheetData>
    <row r="1" spans="2:21" s="74" customFormat="1" ht="22.9" customHeight="1" x14ac:dyDescent="0.15">
      <c r="B1" s="46" t="s">
        <v>30</v>
      </c>
      <c r="D1" s="75"/>
      <c r="E1" s="46" t="s">
        <v>169</v>
      </c>
      <c r="F1" s="46"/>
      <c r="G1" s="46"/>
      <c r="H1" s="46"/>
      <c r="I1" s="46"/>
      <c r="J1" s="46"/>
      <c r="K1" s="46"/>
      <c r="L1" s="46"/>
      <c r="M1" s="46"/>
      <c r="N1" s="137"/>
      <c r="O1" s="138" t="s">
        <v>90</v>
      </c>
      <c r="P1" s="442" t="s">
        <v>56</v>
      </c>
      <c r="Q1" s="442"/>
      <c r="R1" s="442"/>
    </row>
    <row r="3" spans="2:21" ht="21" customHeight="1" x14ac:dyDescent="0.15">
      <c r="B3" s="443" t="s">
        <v>58</v>
      </c>
      <c r="C3" s="444"/>
      <c r="D3" s="445"/>
      <c r="E3" s="76" t="s">
        <v>14</v>
      </c>
      <c r="G3" s="221" t="s">
        <v>15</v>
      </c>
      <c r="H3" s="217"/>
      <c r="I3" s="218" t="s">
        <v>16</v>
      </c>
      <c r="J3" s="217" t="s">
        <v>270</v>
      </c>
      <c r="K3" s="217"/>
      <c r="L3" s="217"/>
      <c r="M3" s="217"/>
      <c r="N3" s="217"/>
      <c r="O3" s="440"/>
      <c r="P3" s="440"/>
      <c r="Q3" s="440"/>
      <c r="R3" s="440"/>
    </row>
    <row r="4" spans="2:21" ht="21" customHeight="1" x14ac:dyDescent="0.15">
      <c r="B4" s="446" t="s">
        <v>59</v>
      </c>
      <c r="C4" s="447"/>
      <c r="D4" s="448"/>
      <c r="E4" s="3"/>
      <c r="G4" s="219" t="s">
        <v>0</v>
      </c>
      <c r="H4" s="220"/>
      <c r="I4" s="216" t="s">
        <v>17</v>
      </c>
      <c r="J4" s="220" t="s">
        <v>48</v>
      </c>
      <c r="K4" s="220"/>
      <c r="L4" s="220"/>
      <c r="M4" s="220"/>
      <c r="N4" s="220"/>
      <c r="O4" s="440"/>
      <c r="P4" s="440"/>
      <c r="Q4" s="440"/>
      <c r="R4" s="440"/>
    </row>
    <row r="5" spans="2:21" ht="21" customHeight="1" x14ac:dyDescent="0.15">
      <c r="B5" s="446" t="s">
        <v>60</v>
      </c>
      <c r="C5" s="447"/>
      <c r="D5" s="448"/>
      <c r="E5" s="9"/>
      <c r="G5" s="219" t="s">
        <v>1</v>
      </c>
      <c r="H5" s="220"/>
      <c r="I5" s="216" t="s">
        <v>17</v>
      </c>
      <c r="J5" s="220" t="s">
        <v>268</v>
      </c>
      <c r="K5" s="220"/>
      <c r="L5" s="220"/>
      <c r="M5" s="220"/>
      <c r="N5" s="220"/>
      <c r="O5" s="441"/>
      <c r="P5" s="441"/>
      <c r="Q5" s="441"/>
      <c r="R5" s="441"/>
    </row>
    <row r="6" spans="2:21" ht="7.9" customHeight="1" x14ac:dyDescent="0.15"/>
    <row r="7" spans="2:21" ht="7.9" customHeight="1" x14ac:dyDescent="0.15"/>
    <row r="8" spans="2:21" ht="23.25" customHeight="1" x14ac:dyDescent="0.15">
      <c r="B8" s="451" t="s">
        <v>18</v>
      </c>
      <c r="C8" s="452"/>
      <c r="D8" s="452"/>
      <c r="E8" s="452"/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3"/>
      <c r="R8" s="40"/>
    </row>
    <row r="9" spans="2:21" ht="27.6" customHeight="1" x14ac:dyDescent="0.15">
      <c r="B9" s="456" t="s">
        <v>213</v>
      </c>
      <c r="C9" s="454" t="s">
        <v>2</v>
      </c>
      <c r="D9" s="457" t="s">
        <v>3</v>
      </c>
      <c r="E9" s="458"/>
      <c r="F9" s="459"/>
      <c r="G9" s="463" t="s">
        <v>91</v>
      </c>
      <c r="H9" s="449" t="s">
        <v>6</v>
      </c>
      <c r="I9" s="450"/>
      <c r="J9" s="450"/>
      <c r="K9" s="450"/>
      <c r="L9" s="450"/>
      <c r="M9" s="435" t="s">
        <v>92</v>
      </c>
      <c r="N9" s="436"/>
      <c r="O9" s="436"/>
      <c r="P9" s="437"/>
      <c r="Q9" s="465" t="s">
        <v>11</v>
      </c>
      <c r="R9" s="65"/>
    </row>
    <row r="10" spans="2:21" ht="87.6" customHeight="1" x14ac:dyDescent="0.15">
      <c r="B10" s="455"/>
      <c r="C10" s="455"/>
      <c r="D10" s="460"/>
      <c r="E10" s="461"/>
      <c r="F10" s="462"/>
      <c r="G10" s="464"/>
      <c r="H10" s="223" t="s">
        <v>12</v>
      </c>
      <c r="I10" s="222" t="s">
        <v>13</v>
      </c>
      <c r="J10" s="222" t="s">
        <v>51</v>
      </c>
      <c r="K10" s="222" t="s">
        <v>214</v>
      </c>
      <c r="L10" s="222"/>
      <c r="M10" s="140" t="s">
        <v>7</v>
      </c>
      <c r="N10" s="141" t="s">
        <v>8</v>
      </c>
      <c r="O10" s="140" t="s">
        <v>10</v>
      </c>
      <c r="P10" s="140" t="s">
        <v>9</v>
      </c>
      <c r="Q10" s="466"/>
      <c r="R10" s="227" t="s">
        <v>57</v>
      </c>
    </row>
    <row r="11" spans="2:21" ht="33" customHeight="1" x14ac:dyDescent="0.15">
      <c r="B11" s="304">
        <v>1</v>
      </c>
      <c r="C11" s="140" t="s">
        <v>262</v>
      </c>
      <c r="D11" s="432" t="s">
        <v>49</v>
      </c>
      <c r="E11" s="433"/>
      <c r="F11" s="434"/>
      <c r="G11" s="399">
        <v>143</v>
      </c>
      <c r="H11" s="205"/>
      <c r="I11" s="162" t="s">
        <v>52</v>
      </c>
      <c r="J11" s="162" t="s">
        <v>52</v>
      </c>
      <c r="K11" s="162" t="s">
        <v>14</v>
      </c>
      <c r="L11" s="162"/>
      <c r="M11" s="400">
        <f>法人一覧!AC57</f>
        <v>143000</v>
      </c>
      <c r="N11" s="401">
        <f>法人一覧!AC58+法人一覧!AC59+法人一覧!AC60</f>
        <v>67850</v>
      </c>
      <c r="O11" s="402"/>
      <c r="P11" s="400">
        <f>SUM(M11:O11)</f>
        <v>210850</v>
      </c>
      <c r="Q11" s="403" t="s">
        <v>271</v>
      </c>
      <c r="R11" s="404" t="s">
        <v>263</v>
      </c>
    </row>
    <row r="12" spans="2:21" ht="33" customHeight="1" x14ac:dyDescent="0.15">
      <c r="B12" s="304">
        <v>2</v>
      </c>
      <c r="C12" s="140" t="s">
        <v>262</v>
      </c>
      <c r="D12" s="247"/>
      <c r="E12" s="216" t="s">
        <v>50</v>
      </c>
      <c r="F12" s="248"/>
      <c r="G12" s="399">
        <v>138</v>
      </c>
      <c r="H12" s="205"/>
      <c r="I12" s="162" t="s">
        <v>14</v>
      </c>
      <c r="J12" s="162" t="s">
        <v>14</v>
      </c>
      <c r="K12" s="162" t="s">
        <v>14</v>
      </c>
      <c r="L12" s="162"/>
      <c r="M12" s="400">
        <f>法人一覧!AC131</f>
        <v>138000</v>
      </c>
      <c r="N12" s="401">
        <f>法人一覧!AC132+法人一覧!AC133+法人一覧!AC134</f>
        <v>66750</v>
      </c>
      <c r="O12" s="402"/>
      <c r="P12" s="400">
        <f>SUM(M12:O12)</f>
        <v>204750</v>
      </c>
      <c r="Q12" s="403" t="s">
        <v>271</v>
      </c>
      <c r="R12" s="404" t="s">
        <v>264</v>
      </c>
    </row>
    <row r="13" spans="2:21" ht="33" customHeight="1" x14ac:dyDescent="0.15">
      <c r="B13" s="304">
        <v>3</v>
      </c>
      <c r="C13" s="142" t="s">
        <v>66</v>
      </c>
      <c r="D13" s="432" t="s">
        <v>48</v>
      </c>
      <c r="E13" s="433"/>
      <c r="F13" s="434"/>
      <c r="G13" s="399">
        <v>63</v>
      </c>
      <c r="H13" s="205"/>
      <c r="I13" s="162" t="s">
        <v>52</v>
      </c>
      <c r="J13" s="162" t="s">
        <v>52</v>
      </c>
      <c r="K13" s="162" t="s">
        <v>14</v>
      </c>
      <c r="L13" s="162"/>
      <c r="M13" s="401">
        <v>63000</v>
      </c>
      <c r="N13" s="401">
        <v>30600</v>
      </c>
      <c r="O13" s="402"/>
      <c r="P13" s="400">
        <f t="shared" ref="P13:P14" si="0">SUM(M13:O13)</f>
        <v>93600</v>
      </c>
      <c r="Q13" s="403" t="s">
        <v>71</v>
      </c>
      <c r="R13" s="404" t="s">
        <v>67</v>
      </c>
      <c r="U13" s="80"/>
    </row>
    <row r="14" spans="2:21" ht="33" customHeight="1" x14ac:dyDescent="0.15">
      <c r="B14" s="304">
        <v>4</v>
      </c>
      <c r="C14" s="142" t="s">
        <v>69</v>
      </c>
      <c r="D14" s="432" t="s">
        <v>48</v>
      </c>
      <c r="E14" s="438"/>
      <c r="F14" s="439"/>
      <c r="G14" s="399">
        <v>78</v>
      </c>
      <c r="H14" s="205"/>
      <c r="I14" s="162" t="s">
        <v>52</v>
      </c>
      <c r="J14" s="162" t="s">
        <v>14</v>
      </c>
      <c r="K14" s="162" t="s">
        <v>14</v>
      </c>
      <c r="L14" s="162"/>
      <c r="M14" s="401">
        <v>78000</v>
      </c>
      <c r="N14" s="401">
        <f>阿部正隆!Y34</f>
        <v>35400</v>
      </c>
      <c r="O14" s="402"/>
      <c r="P14" s="400">
        <f t="shared" si="0"/>
        <v>113400</v>
      </c>
      <c r="Q14" s="403" t="s">
        <v>71</v>
      </c>
      <c r="R14" s="404" t="s">
        <v>265</v>
      </c>
    </row>
    <row r="15" spans="2:21" ht="33" customHeight="1" x14ac:dyDescent="0.15">
      <c r="B15" s="304">
        <v>5</v>
      </c>
      <c r="C15" s="142" t="s">
        <v>70</v>
      </c>
      <c r="D15" s="432" t="s">
        <v>48</v>
      </c>
      <c r="E15" s="433"/>
      <c r="F15" s="434"/>
      <c r="G15" s="399">
        <v>10</v>
      </c>
      <c r="H15" s="205"/>
      <c r="I15" s="162" t="s">
        <v>14</v>
      </c>
      <c r="J15" s="205"/>
      <c r="K15" s="162" t="s">
        <v>14</v>
      </c>
      <c r="L15" s="162"/>
      <c r="M15" s="401">
        <v>10000</v>
      </c>
      <c r="N15" s="401">
        <v>3500</v>
      </c>
      <c r="O15" s="402"/>
      <c r="P15" s="400">
        <f>SUM(M15:O15)</f>
        <v>13500</v>
      </c>
      <c r="Q15" s="403" t="s">
        <v>71</v>
      </c>
      <c r="R15" s="404" t="s">
        <v>68</v>
      </c>
    </row>
    <row r="16" spans="2:21" ht="33" customHeight="1" x14ac:dyDescent="0.15">
      <c r="B16" s="304">
        <v>6</v>
      </c>
      <c r="C16" s="140" t="s">
        <v>61</v>
      </c>
      <c r="D16" s="432" t="s">
        <v>48</v>
      </c>
      <c r="E16" s="433"/>
      <c r="F16" s="434"/>
      <c r="G16" s="399">
        <v>27</v>
      </c>
      <c r="H16" s="205"/>
      <c r="I16" s="162" t="s">
        <v>14</v>
      </c>
      <c r="J16" s="205"/>
      <c r="K16" s="162" t="s">
        <v>14</v>
      </c>
      <c r="L16" s="162"/>
      <c r="M16" s="401">
        <f>下管理組合!R33</f>
        <v>27000</v>
      </c>
      <c r="N16" s="401">
        <f>下管理組合!R34+下管理組合!R36</f>
        <v>5950</v>
      </c>
      <c r="O16" s="402"/>
      <c r="P16" s="400">
        <f>SUM(M16:O16)</f>
        <v>32950</v>
      </c>
      <c r="Q16" s="403" t="s">
        <v>271</v>
      </c>
      <c r="R16" s="404" t="s">
        <v>272</v>
      </c>
    </row>
    <row r="17" spans="2:18" ht="13.9" customHeight="1" x14ac:dyDescent="0.15">
      <c r="B17" s="6"/>
      <c r="C17" s="7"/>
      <c r="D17" s="78"/>
      <c r="E17" s="6"/>
      <c r="F17" s="79"/>
      <c r="G17" s="135"/>
      <c r="H17" s="7"/>
      <c r="I17" s="6"/>
      <c r="J17" s="7"/>
      <c r="K17" s="7"/>
      <c r="L17" s="7"/>
      <c r="M17" s="143"/>
      <c r="N17" s="143"/>
      <c r="O17" s="139"/>
      <c r="P17" s="144"/>
      <c r="Q17" s="7"/>
      <c r="R17" s="6"/>
    </row>
    <row r="18" spans="2:18" ht="36.75" customHeight="1" x14ac:dyDescent="0.15">
      <c r="B18" s="430" t="s">
        <v>54</v>
      </c>
      <c r="C18" s="431"/>
      <c r="D18" s="249"/>
      <c r="E18" s="250"/>
      <c r="F18" s="251"/>
      <c r="G18" s="429">
        <f>SUM(G11:G16)</f>
        <v>459</v>
      </c>
      <c r="H18" s="252"/>
      <c r="I18" s="252"/>
      <c r="J18" s="252"/>
      <c r="K18" s="252"/>
      <c r="L18" s="252"/>
      <c r="M18" s="253">
        <f>SUM(M11:M16)</f>
        <v>459000</v>
      </c>
      <c r="N18" s="254">
        <f>SUM(N11:N16)</f>
        <v>210050</v>
      </c>
      <c r="O18" s="252"/>
      <c r="P18" s="253">
        <f>SUM(P11:P16)</f>
        <v>669050</v>
      </c>
      <c r="Q18" s="121"/>
      <c r="R18" s="240"/>
    </row>
    <row r="19" spans="2:18" ht="6" customHeight="1" x14ac:dyDescent="0.15">
      <c r="B19" s="2"/>
    </row>
    <row r="20" spans="2:18" x14ac:dyDescent="0.15">
      <c r="B20" s="2"/>
    </row>
    <row r="21" spans="2:18" x14ac:dyDescent="0.15">
      <c r="B21" s="2"/>
    </row>
    <row r="22" spans="2:18" x14ac:dyDescent="0.15">
      <c r="B22" s="2"/>
    </row>
    <row r="23" spans="2:18" x14ac:dyDescent="0.15">
      <c r="B23" s="2"/>
    </row>
    <row r="24" spans="2:18" x14ac:dyDescent="0.15">
      <c r="B24" s="2"/>
    </row>
    <row r="25" spans="2:18" x14ac:dyDescent="0.15">
      <c r="B25" s="2"/>
    </row>
    <row r="26" spans="2:18" x14ac:dyDescent="0.15">
      <c r="B26" s="2"/>
    </row>
    <row r="27" spans="2:18" x14ac:dyDescent="0.15">
      <c r="B27" s="2"/>
    </row>
    <row r="28" spans="2:18" x14ac:dyDescent="0.15">
      <c r="B28" s="2"/>
    </row>
    <row r="29" spans="2:18" x14ac:dyDescent="0.15">
      <c r="B29" s="2"/>
    </row>
  </sheetData>
  <mergeCells count="21">
    <mergeCell ref="O3:R3"/>
    <mergeCell ref="O4:R4"/>
    <mergeCell ref="O5:R5"/>
    <mergeCell ref="D13:F13"/>
    <mergeCell ref="P1:R1"/>
    <mergeCell ref="D11:F11"/>
    <mergeCell ref="B3:D3"/>
    <mergeCell ref="B4:D4"/>
    <mergeCell ref="B5:D5"/>
    <mergeCell ref="H9:L9"/>
    <mergeCell ref="B8:Q8"/>
    <mergeCell ref="C9:C10"/>
    <mergeCell ref="B9:B10"/>
    <mergeCell ref="D9:F10"/>
    <mergeCell ref="G9:G10"/>
    <mergeCell ref="Q9:Q10"/>
    <mergeCell ref="B18:C18"/>
    <mergeCell ref="D16:F16"/>
    <mergeCell ref="M9:P9"/>
    <mergeCell ref="D14:F14"/>
    <mergeCell ref="D15:F15"/>
  </mergeCells>
  <phoneticPr fontId="1"/>
  <pageMargins left="0.23622047244094491" right="0" top="1.5748031496062993" bottom="0" header="0.11811023622047245" footer="0.11811023622047245"/>
  <pageSetup paperSize="9" scale="92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G153"/>
  <sheetViews>
    <sheetView topLeftCell="A53" zoomScale="98" zoomScaleNormal="98" workbookViewId="0">
      <selection activeCell="J70" sqref="J70"/>
    </sheetView>
  </sheetViews>
  <sheetFormatPr defaultRowHeight="13.5" x14ac:dyDescent="0.15"/>
  <cols>
    <col min="1" max="1" width="0.75" customWidth="1"/>
    <col min="2" max="2" width="3.25" customWidth="1"/>
    <col min="3" max="3" width="11.5" style="274" customWidth="1"/>
    <col min="4" max="4" width="11.5" customWidth="1"/>
    <col min="5" max="5" width="9.625" customWidth="1"/>
    <col min="6" max="28" width="9.625" style="2" customWidth="1"/>
    <col min="29" max="29" width="12.125" customWidth="1"/>
    <col min="30" max="30" width="20.25" customWidth="1"/>
    <col min="31" max="31" width="13.875" customWidth="1"/>
    <col min="32" max="32" width="1.375" customWidth="1"/>
    <col min="33" max="33" width="14.625" customWidth="1"/>
    <col min="35" max="35" width="12.375" customWidth="1"/>
  </cols>
  <sheetData>
    <row r="1" spans="2:33" ht="27.75" customHeight="1" x14ac:dyDescent="0.15">
      <c r="B1" s="497" t="s">
        <v>31</v>
      </c>
      <c r="C1" s="497"/>
      <c r="D1" s="498"/>
      <c r="E1" s="74"/>
      <c r="F1" s="503" t="s">
        <v>291</v>
      </c>
      <c r="G1" s="503"/>
      <c r="H1" s="503"/>
      <c r="Q1" s="12"/>
      <c r="R1" s="12"/>
      <c r="S1" s="12"/>
      <c r="T1" s="496"/>
      <c r="U1" s="467"/>
      <c r="V1" s="39"/>
      <c r="W1" s="504"/>
      <c r="X1" s="505"/>
      <c r="Y1" s="505"/>
      <c r="Z1" s="39"/>
      <c r="AA1" s="407"/>
      <c r="AC1" s="11"/>
      <c r="AD1" s="11"/>
      <c r="AE1" s="11"/>
    </row>
    <row r="2" spans="2:33" ht="37.15" customHeight="1" x14ac:dyDescent="0.15">
      <c r="B2" s="12"/>
      <c r="C2" s="272"/>
      <c r="D2" s="81" t="s">
        <v>185</v>
      </c>
      <c r="E2" s="73"/>
      <c r="F2"/>
      <c r="G2" s="83"/>
      <c r="H2" s="83"/>
      <c r="I2" s="83"/>
      <c r="J2" s="83"/>
      <c r="K2" s="83"/>
      <c r="L2" s="83"/>
      <c r="M2" s="84" t="s">
        <v>261</v>
      </c>
      <c r="N2" s="84"/>
      <c r="O2" s="62" t="s">
        <v>215</v>
      </c>
      <c r="P2" s="62"/>
      <c r="Q2" s="495" t="s">
        <v>170</v>
      </c>
      <c r="R2" s="495"/>
      <c r="S2" s="495"/>
      <c r="T2" s="85"/>
      <c r="U2" s="12"/>
      <c r="V2" s="12"/>
      <c r="W2" s="12"/>
      <c r="X2" s="12"/>
      <c r="Y2" s="12"/>
      <c r="Z2" s="12"/>
      <c r="AA2" s="12"/>
      <c r="AB2" s="506" t="s">
        <v>217</v>
      </c>
      <c r="AC2" s="506"/>
      <c r="AD2" s="506"/>
      <c r="AE2" s="506"/>
      <c r="AG2" s="61" t="e">
        <f>AD57+AD131+#REF!</f>
        <v>#REF!</v>
      </c>
    </row>
    <row r="3" spans="2:33" ht="19.5" customHeight="1" x14ac:dyDescent="0.15">
      <c r="B3" s="507" t="s">
        <v>19</v>
      </c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9"/>
      <c r="AG3">
        <v>451573</v>
      </c>
    </row>
    <row r="4" spans="2:33" ht="15" customHeight="1" x14ac:dyDescent="0.15">
      <c r="B4" s="489"/>
      <c r="C4" s="475" t="s">
        <v>23</v>
      </c>
      <c r="D4" s="41" t="s">
        <v>32</v>
      </c>
      <c r="E4" s="162">
        <v>1</v>
      </c>
      <c r="F4" s="162">
        <v>2</v>
      </c>
      <c r="G4" s="162">
        <v>3</v>
      </c>
      <c r="H4" s="162">
        <v>4</v>
      </c>
      <c r="I4" s="162">
        <v>5</v>
      </c>
      <c r="J4" s="162">
        <v>6</v>
      </c>
      <c r="K4" s="162">
        <v>7</v>
      </c>
      <c r="L4" s="162">
        <v>8</v>
      </c>
      <c r="M4" s="162">
        <v>9</v>
      </c>
      <c r="N4" s="162">
        <v>10</v>
      </c>
      <c r="O4" s="162">
        <v>11</v>
      </c>
      <c r="P4" s="162">
        <v>12</v>
      </c>
      <c r="Q4" s="162">
        <v>13</v>
      </c>
      <c r="R4" s="162">
        <v>14</v>
      </c>
      <c r="S4" s="162">
        <v>15</v>
      </c>
      <c r="T4" s="162">
        <v>16</v>
      </c>
      <c r="U4" s="162">
        <v>17</v>
      </c>
      <c r="V4" s="162">
        <v>18</v>
      </c>
      <c r="W4" s="162">
        <v>19</v>
      </c>
      <c r="X4" s="162">
        <v>20</v>
      </c>
      <c r="Y4" s="14">
        <v>21</v>
      </c>
      <c r="Z4" s="14">
        <v>22</v>
      </c>
      <c r="AA4" s="14">
        <v>23</v>
      </c>
      <c r="AB4" s="14" t="s">
        <v>55</v>
      </c>
      <c r="AC4" s="500" t="s">
        <v>22</v>
      </c>
      <c r="AD4" s="500" t="s">
        <v>21</v>
      </c>
      <c r="AE4" s="500" t="s">
        <v>20</v>
      </c>
      <c r="AG4" s="47" t="e">
        <f>AG2-AG3</f>
        <v>#REF!</v>
      </c>
    </row>
    <row r="5" spans="2:33" s="241" customFormat="1" ht="15" customHeight="1" x14ac:dyDescent="0.15">
      <c r="B5" s="490"/>
      <c r="C5" s="476"/>
      <c r="D5" s="245" t="s">
        <v>25</v>
      </c>
      <c r="E5" s="242" t="s">
        <v>126</v>
      </c>
      <c r="F5" s="242" t="s">
        <v>128</v>
      </c>
      <c r="G5" s="242" t="s">
        <v>156</v>
      </c>
      <c r="H5" s="242" t="s">
        <v>174</v>
      </c>
      <c r="I5" s="242" t="s">
        <v>158</v>
      </c>
      <c r="J5" s="242" t="s">
        <v>175</v>
      </c>
      <c r="K5" s="242" t="s">
        <v>176</v>
      </c>
      <c r="L5" s="242" t="s">
        <v>160</v>
      </c>
      <c r="M5" s="242" t="s">
        <v>161</v>
      </c>
      <c r="N5" s="242" t="s">
        <v>146</v>
      </c>
      <c r="O5" s="242" t="s">
        <v>162</v>
      </c>
      <c r="P5" s="242" t="s">
        <v>186</v>
      </c>
      <c r="Q5" s="242" t="s">
        <v>177</v>
      </c>
      <c r="R5" s="242" t="s">
        <v>137</v>
      </c>
      <c r="S5" s="242" t="s">
        <v>178</v>
      </c>
      <c r="T5" s="242" t="s">
        <v>139</v>
      </c>
      <c r="U5" s="242" t="s">
        <v>179</v>
      </c>
      <c r="V5" s="242" t="s">
        <v>292</v>
      </c>
      <c r="W5" s="242" t="s">
        <v>181</v>
      </c>
      <c r="X5" s="242" t="s">
        <v>180</v>
      </c>
      <c r="Y5" s="242" t="s">
        <v>182</v>
      </c>
      <c r="Z5" s="242" t="s">
        <v>183</v>
      </c>
      <c r="AA5" s="242" t="s">
        <v>184</v>
      </c>
      <c r="AB5" s="243"/>
      <c r="AC5" s="501"/>
      <c r="AD5" s="501"/>
      <c r="AE5" s="501"/>
    </row>
    <row r="6" spans="2:33" ht="15" customHeight="1" x14ac:dyDescent="0.15">
      <c r="B6" s="490"/>
      <c r="C6" s="476"/>
      <c r="D6" s="510" t="s">
        <v>24</v>
      </c>
      <c r="E6" s="194">
        <v>0.33333333333333331</v>
      </c>
      <c r="F6" s="194">
        <v>0.29166666666666669</v>
      </c>
      <c r="G6" s="194">
        <v>0.33333333333333331</v>
      </c>
      <c r="H6" s="194">
        <v>0.33333333333333331</v>
      </c>
      <c r="I6" s="194">
        <v>0.33333333333333331</v>
      </c>
      <c r="J6" s="194">
        <v>0.29166666666666669</v>
      </c>
      <c r="K6" s="194">
        <v>0.33333333333333331</v>
      </c>
      <c r="L6" s="194">
        <v>0.29166666666666669</v>
      </c>
      <c r="M6" s="194">
        <v>0.29166666666666669</v>
      </c>
      <c r="N6" s="194">
        <v>0.33333333333333331</v>
      </c>
      <c r="O6" s="194">
        <v>0.625</v>
      </c>
      <c r="P6" s="194">
        <v>0.33333333333333331</v>
      </c>
      <c r="Q6" s="194">
        <v>0.29166666666666669</v>
      </c>
      <c r="R6" s="194">
        <v>0.33333333333333331</v>
      </c>
      <c r="S6" s="194">
        <v>0.58333333333333337</v>
      </c>
      <c r="T6" s="194">
        <v>0.66666666666666663</v>
      </c>
      <c r="U6" s="194" t="s">
        <v>207</v>
      </c>
      <c r="V6" s="194">
        <v>0.625</v>
      </c>
      <c r="W6" s="194">
        <v>0.66666666666666663</v>
      </c>
      <c r="X6" s="194">
        <v>0.70833333333333337</v>
      </c>
      <c r="Y6" s="194">
        <v>0.66666666666666663</v>
      </c>
      <c r="Z6" s="194">
        <v>0.33333333333333331</v>
      </c>
      <c r="AA6" s="194">
        <v>0.33333333333333331</v>
      </c>
      <c r="AB6" s="24"/>
      <c r="AC6" s="501"/>
      <c r="AD6" s="501"/>
      <c r="AE6" s="501"/>
    </row>
    <row r="7" spans="2:33" ht="15" customHeight="1" x14ac:dyDescent="0.15">
      <c r="B7" s="490"/>
      <c r="C7" s="476"/>
      <c r="D7" s="490"/>
      <c r="E7" s="195" t="s">
        <v>4</v>
      </c>
      <c r="F7" s="195" t="s">
        <v>4</v>
      </c>
      <c r="G7" s="195" t="s">
        <v>4</v>
      </c>
      <c r="H7" s="195" t="s">
        <v>4</v>
      </c>
      <c r="I7" s="195" t="s">
        <v>4</v>
      </c>
      <c r="J7" s="196" t="s">
        <v>4</v>
      </c>
      <c r="K7" s="195" t="s">
        <v>4</v>
      </c>
      <c r="L7" s="195" t="s">
        <v>46</v>
      </c>
      <c r="M7" s="195" t="s">
        <v>4</v>
      </c>
      <c r="N7" s="195" t="s">
        <v>4</v>
      </c>
      <c r="O7" s="195" t="s">
        <v>4</v>
      </c>
      <c r="P7" s="195" t="s">
        <v>46</v>
      </c>
      <c r="Q7" s="195" t="s">
        <v>4</v>
      </c>
      <c r="R7" s="195" t="s">
        <v>4</v>
      </c>
      <c r="S7" s="195" t="s">
        <v>4</v>
      </c>
      <c r="T7" s="196" t="s">
        <v>4</v>
      </c>
      <c r="U7" s="195" t="s">
        <v>4</v>
      </c>
      <c r="V7" s="195" t="s">
        <v>46</v>
      </c>
      <c r="W7" s="196" t="s">
        <v>4</v>
      </c>
      <c r="X7" s="195" t="s">
        <v>4</v>
      </c>
      <c r="Y7" s="195" t="s">
        <v>4</v>
      </c>
      <c r="Z7" s="195" t="s">
        <v>4</v>
      </c>
      <c r="AA7" s="195" t="s">
        <v>4</v>
      </c>
      <c r="AB7" s="45"/>
      <c r="AC7" s="501"/>
      <c r="AD7" s="501"/>
      <c r="AE7" s="501"/>
    </row>
    <row r="8" spans="2:33" ht="15" customHeight="1" x14ac:dyDescent="0.15">
      <c r="B8" s="490"/>
      <c r="C8" s="476"/>
      <c r="D8" s="511"/>
      <c r="E8" s="197">
        <v>0.41666666666666669</v>
      </c>
      <c r="F8" s="197">
        <v>0.375</v>
      </c>
      <c r="G8" s="197">
        <v>0.41666666666666669</v>
      </c>
      <c r="H8" s="197">
        <v>0.41666666666666669</v>
      </c>
      <c r="I8" s="197">
        <v>0.375</v>
      </c>
      <c r="J8" s="197">
        <v>0.375</v>
      </c>
      <c r="K8" s="197">
        <v>0.41666666666666669</v>
      </c>
      <c r="L8" s="197">
        <v>0.33333333333333331</v>
      </c>
      <c r="M8" s="197">
        <v>0.375</v>
      </c>
      <c r="N8" s="197">
        <v>0.41666666666666669</v>
      </c>
      <c r="O8" s="197">
        <v>0.66666666666666663</v>
      </c>
      <c r="P8" s="197">
        <v>0.41666666666666669</v>
      </c>
      <c r="Q8" s="197">
        <v>0.375</v>
      </c>
      <c r="R8" s="197">
        <v>0.41666666666666669</v>
      </c>
      <c r="S8" s="197">
        <v>0.66666666666666663</v>
      </c>
      <c r="T8" s="197">
        <v>0.75</v>
      </c>
      <c r="U8" s="197">
        <v>0.70833333333333337</v>
      </c>
      <c r="V8" s="197">
        <v>0.70833333333333337</v>
      </c>
      <c r="W8" s="197">
        <v>0.75</v>
      </c>
      <c r="X8" s="197">
        <v>0.75</v>
      </c>
      <c r="Y8" s="197">
        <v>0.75</v>
      </c>
      <c r="Z8" s="197">
        <v>0.41666666666666669</v>
      </c>
      <c r="AA8" s="197">
        <v>0.45833333333333331</v>
      </c>
      <c r="AB8" s="197"/>
      <c r="AC8" s="501"/>
      <c r="AD8" s="501"/>
      <c r="AE8" s="501"/>
    </row>
    <row r="9" spans="2:33" ht="15" customHeight="1" x14ac:dyDescent="0.15">
      <c r="B9" s="490"/>
      <c r="C9" s="476"/>
      <c r="D9" s="9" t="s">
        <v>5</v>
      </c>
      <c r="E9" s="199">
        <v>2</v>
      </c>
      <c r="F9" s="199">
        <v>2</v>
      </c>
      <c r="G9" s="199">
        <v>2</v>
      </c>
      <c r="H9" s="199">
        <v>2</v>
      </c>
      <c r="I9" s="199">
        <v>1</v>
      </c>
      <c r="J9" s="199">
        <v>2</v>
      </c>
      <c r="K9" s="199">
        <v>2</v>
      </c>
      <c r="L9" s="199">
        <v>1</v>
      </c>
      <c r="M9" s="199">
        <v>2</v>
      </c>
      <c r="N9" s="199">
        <v>2</v>
      </c>
      <c r="O9" s="199">
        <v>1</v>
      </c>
      <c r="P9" s="199">
        <v>2</v>
      </c>
      <c r="Q9" s="199">
        <v>2</v>
      </c>
      <c r="R9" s="199">
        <v>2</v>
      </c>
      <c r="S9" s="199">
        <v>2</v>
      </c>
      <c r="T9" s="199">
        <v>2</v>
      </c>
      <c r="U9" s="199">
        <v>1</v>
      </c>
      <c r="V9" s="199">
        <v>2</v>
      </c>
      <c r="W9" s="199">
        <v>2</v>
      </c>
      <c r="X9" s="199">
        <v>1</v>
      </c>
      <c r="Y9" s="199">
        <v>2</v>
      </c>
      <c r="Z9" s="199">
        <v>2</v>
      </c>
      <c r="AA9" s="199">
        <v>3</v>
      </c>
      <c r="AB9" s="107">
        <f>SUM(E9:AA9)</f>
        <v>42</v>
      </c>
      <c r="AC9" s="501"/>
      <c r="AD9" s="501"/>
      <c r="AE9" s="501"/>
    </row>
    <row r="10" spans="2:33" ht="49.5" x14ac:dyDescent="0.15">
      <c r="B10" s="491"/>
      <c r="C10" s="477"/>
      <c r="D10" s="26" t="s">
        <v>15</v>
      </c>
      <c r="E10" s="204" t="s">
        <v>44</v>
      </c>
      <c r="F10" s="204" t="s">
        <v>44</v>
      </c>
      <c r="G10" s="204" t="s">
        <v>44</v>
      </c>
      <c r="H10" s="204" t="s">
        <v>44</v>
      </c>
      <c r="I10" s="204" t="s">
        <v>44</v>
      </c>
      <c r="J10" s="204" t="s">
        <v>44</v>
      </c>
      <c r="K10" s="204" t="s">
        <v>44</v>
      </c>
      <c r="L10" s="204" t="s">
        <v>44</v>
      </c>
      <c r="M10" s="204" t="s">
        <v>44</v>
      </c>
      <c r="N10" s="204" t="s">
        <v>44</v>
      </c>
      <c r="O10" s="204" t="s">
        <v>44</v>
      </c>
      <c r="P10" s="204" t="s">
        <v>44</v>
      </c>
      <c r="Q10" s="204" t="s">
        <v>44</v>
      </c>
      <c r="R10" s="204" t="s">
        <v>44</v>
      </c>
      <c r="S10" s="204" t="s">
        <v>44</v>
      </c>
      <c r="T10" s="294" t="s">
        <v>206</v>
      </c>
      <c r="U10" s="294" t="s">
        <v>206</v>
      </c>
      <c r="V10" s="294" t="s">
        <v>206</v>
      </c>
      <c r="W10" s="294" t="s">
        <v>206</v>
      </c>
      <c r="X10" s="294" t="s">
        <v>206</v>
      </c>
      <c r="Y10" s="294" t="s">
        <v>206</v>
      </c>
      <c r="Z10" s="204" t="s">
        <v>44</v>
      </c>
      <c r="AA10" s="204" t="s">
        <v>44</v>
      </c>
      <c r="AB10" s="51"/>
      <c r="AC10" s="502"/>
      <c r="AD10" s="502"/>
      <c r="AE10" s="502"/>
    </row>
    <row r="11" spans="2:33" ht="15" customHeight="1" x14ac:dyDescent="0.15">
      <c r="B11" s="494">
        <v>1</v>
      </c>
      <c r="C11" s="483" t="s">
        <v>171</v>
      </c>
      <c r="D11" s="40" t="s">
        <v>26</v>
      </c>
      <c r="E11" s="186">
        <v>2000</v>
      </c>
      <c r="F11" s="186">
        <v>2000</v>
      </c>
      <c r="G11" s="186">
        <v>2000</v>
      </c>
      <c r="H11" s="186">
        <v>2000</v>
      </c>
      <c r="I11" s="186">
        <v>1000</v>
      </c>
      <c r="J11" s="186">
        <v>2000</v>
      </c>
      <c r="K11" s="186">
        <v>2000</v>
      </c>
      <c r="L11" s="186">
        <v>1000</v>
      </c>
      <c r="M11" s="186">
        <v>2000</v>
      </c>
      <c r="N11" s="186">
        <v>2000</v>
      </c>
      <c r="O11" s="186">
        <v>1000</v>
      </c>
      <c r="P11" s="186">
        <v>2000</v>
      </c>
      <c r="Q11" s="186">
        <v>2000</v>
      </c>
      <c r="R11" s="186">
        <v>2000</v>
      </c>
      <c r="S11" s="186">
        <v>2000</v>
      </c>
      <c r="T11" s="186">
        <v>2000</v>
      </c>
      <c r="U11" s="186">
        <v>1000</v>
      </c>
      <c r="V11" s="186">
        <v>2000</v>
      </c>
      <c r="W11" s="186">
        <v>2000</v>
      </c>
      <c r="X11" s="186">
        <v>1000</v>
      </c>
      <c r="Y11" s="165">
        <v>2000</v>
      </c>
      <c r="Z11" s="165">
        <v>2000</v>
      </c>
      <c r="AA11" s="165">
        <v>3000</v>
      </c>
      <c r="AB11" s="165"/>
      <c r="AC11" s="103">
        <f>SUM(E11:AB11)</f>
        <v>42000</v>
      </c>
      <c r="AD11" s="485">
        <f>AC11+AC12+AC13+AC14+AC15</f>
        <v>61450</v>
      </c>
      <c r="AE11" s="512"/>
      <c r="AG11" s="467"/>
    </row>
    <row r="12" spans="2:33" ht="15" customHeight="1" x14ac:dyDescent="0.15">
      <c r="B12" s="494"/>
      <c r="C12" s="476"/>
      <c r="D12" s="228" t="s">
        <v>29</v>
      </c>
      <c r="E12" s="187">
        <v>700</v>
      </c>
      <c r="F12" s="187"/>
      <c r="G12" s="187">
        <v>700</v>
      </c>
      <c r="H12" s="187">
        <v>700</v>
      </c>
      <c r="I12" s="187"/>
      <c r="J12" s="187">
        <v>350</v>
      </c>
      <c r="K12" s="187">
        <v>700</v>
      </c>
      <c r="L12" s="187"/>
      <c r="M12" s="187">
        <v>700</v>
      </c>
      <c r="N12" s="187">
        <v>700</v>
      </c>
      <c r="O12" s="187">
        <v>350</v>
      </c>
      <c r="P12" s="187">
        <v>700</v>
      </c>
      <c r="Q12" s="187">
        <v>350</v>
      </c>
      <c r="R12" s="187">
        <v>700</v>
      </c>
      <c r="S12" s="187"/>
      <c r="T12" s="187"/>
      <c r="U12" s="187"/>
      <c r="V12" s="187"/>
      <c r="W12" s="187">
        <v>700</v>
      </c>
      <c r="X12" s="187"/>
      <c r="Y12" s="166"/>
      <c r="Z12" s="166">
        <v>700</v>
      </c>
      <c r="AA12" s="166">
        <v>700</v>
      </c>
      <c r="AB12" s="166"/>
      <c r="AC12" s="104">
        <f>SUM(E12:AB12)</f>
        <v>8750</v>
      </c>
      <c r="AD12" s="486"/>
      <c r="AE12" s="490"/>
      <c r="AG12" s="467"/>
    </row>
    <row r="13" spans="2:33" ht="15" customHeight="1" x14ac:dyDescent="0.15">
      <c r="B13" s="494"/>
      <c r="C13" s="476"/>
      <c r="D13" s="229" t="s">
        <v>35</v>
      </c>
      <c r="E13" s="189"/>
      <c r="F13" s="189">
        <v>1600</v>
      </c>
      <c r="G13" s="189"/>
      <c r="H13" s="189"/>
      <c r="I13" s="189">
        <v>800</v>
      </c>
      <c r="J13" s="189">
        <v>800</v>
      </c>
      <c r="K13" s="189"/>
      <c r="L13" s="189">
        <v>800</v>
      </c>
      <c r="M13" s="189"/>
      <c r="N13" s="189"/>
      <c r="O13" s="189"/>
      <c r="P13" s="189"/>
      <c r="Q13" s="189">
        <v>800</v>
      </c>
      <c r="R13" s="189"/>
      <c r="S13" s="189">
        <v>1600</v>
      </c>
      <c r="T13" s="189"/>
      <c r="U13" s="189"/>
      <c r="V13" s="189"/>
      <c r="W13" s="189"/>
      <c r="X13" s="189"/>
      <c r="Y13" s="167"/>
      <c r="Z13" s="167"/>
      <c r="AA13" s="167">
        <v>800</v>
      </c>
      <c r="AB13" s="167"/>
      <c r="AC13" s="104">
        <f>SUM(E13:AB13)</f>
        <v>7200</v>
      </c>
      <c r="AD13" s="486"/>
      <c r="AE13" s="490"/>
      <c r="AG13" s="467"/>
    </row>
    <row r="14" spans="2:33" ht="15" customHeight="1" x14ac:dyDescent="0.15">
      <c r="B14" s="494"/>
      <c r="C14" s="476"/>
      <c r="D14" s="229" t="s">
        <v>203</v>
      </c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>
        <v>700</v>
      </c>
      <c r="U14" s="189">
        <v>350</v>
      </c>
      <c r="V14" s="189">
        <v>700</v>
      </c>
      <c r="W14" s="189">
        <v>700</v>
      </c>
      <c r="X14" s="189">
        <v>350</v>
      </c>
      <c r="Y14" s="167">
        <v>700</v>
      </c>
      <c r="Z14" s="167"/>
      <c r="AA14" s="167"/>
      <c r="AB14" s="167"/>
      <c r="AC14" s="104">
        <f>SUM(E14:AB14)</f>
        <v>3500</v>
      </c>
      <c r="AD14" s="486"/>
      <c r="AE14" s="490"/>
      <c r="AG14" s="467"/>
    </row>
    <row r="15" spans="2:33" ht="15" customHeight="1" x14ac:dyDescent="0.15">
      <c r="B15" s="494"/>
      <c r="C15" s="484"/>
      <c r="D15" s="230" t="s">
        <v>27</v>
      </c>
      <c r="E15" s="17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105">
        <f>SUM(E15:AB15)</f>
        <v>0</v>
      </c>
      <c r="AD15" s="487"/>
      <c r="AE15" s="491"/>
      <c r="AG15" s="467"/>
    </row>
    <row r="16" spans="2:33" ht="6" customHeight="1" x14ac:dyDescent="0.15">
      <c r="B16" s="6"/>
      <c r="C16" s="273"/>
      <c r="D16" s="48"/>
      <c r="E16" s="49"/>
      <c r="F16" s="56"/>
      <c r="G16" s="57"/>
      <c r="H16" s="57"/>
      <c r="I16" s="56"/>
      <c r="J16" s="57"/>
      <c r="K16" s="57"/>
      <c r="L16" s="57"/>
      <c r="M16" s="56"/>
      <c r="N16" s="57"/>
      <c r="O16" s="57"/>
      <c r="P16" s="56"/>
      <c r="Q16" s="57"/>
      <c r="R16" s="56"/>
      <c r="S16" s="57"/>
      <c r="T16" s="57"/>
      <c r="U16" s="57"/>
      <c r="V16" s="56"/>
      <c r="W16" s="57"/>
      <c r="X16" s="57"/>
      <c r="Y16" s="57"/>
      <c r="Z16" s="56"/>
      <c r="AA16" s="57"/>
      <c r="AB16" s="57"/>
      <c r="AC16" s="49"/>
      <c r="AD16" s="7"/>
      <c r="AE16" s="7"/>
    </row>
    <row r="17" spans="2:31" ht="15" customHeight="1" x14ac:dyDescent="0.15">
      <c r="B17" s="489"/>
      <c r="C17" s="475" t="s">
        <v>23</v>
      </c>
      <c r="D17" s="162" t="s">
        <v>32</v>
      </c>
      <c r="E17" s="162">
        <v>1</v>
      </c>
      <c r="F17" s="162">
        <v>2</v>
      </c>
      <c r="G17" s="162">
        <v>3</v>
      </c>
      <c r="H17" s="162">
        <v>4</v>
      </c>
      <c r="I17" s="162">
        <v>5</v>
      </c>
      <c r="J17" s="162">
        <v>6</v>
      </c>
      <c r="K17" s="162">
        <v>7</v>
      </c>
      <c r="L17" s="162">
        <v>8</v>
      </c>
      <c r="M17" s="162">
        <v>9</v>
      </c>
      <c r="N17" s="162">
        <v>10</v>
      </c>
      <c r="O17" s="162">
        <v>11</v>
      </c>
      <c r="P17" s="162">
        <v>12</v>
      </c>
      <c r="Q17" s="162">
        <v>13</v>
      </c>
      <c r="R17" s="162">
        <v>14</v>
      </c>
      <c r="S17" s="162">
        <v>15</v>
      </c>
      <c r="T17" s="162">
        <v>16</v>
      </c>
      <c r="U17" s="162">
        <v>17</v>
      </c>
      <c r="V17" s="162">
        <v>18</v>
      </c>
      <c r="W17" s="162">
        <v>19</v>
      </c>
      <c r="X17" s="162">
        <v>20</v>
      </c>
      <c r="Y17" s="162">
        <v>21</v>
      </c>
      <c r="Z17" s="162">
        <v>22</v>
      </c>
      <c r="AA17" s="162">
        <v>23</v>
      </c>
      <c r="AB17" s="14" t="s">
        <v>55</v>
      </c>
      <c r="AC17" s="500" t="s">
        <v>22</v>
      </c>
      <c r="AD17" s="500" t="s">
        <v>21</v>
      </c>
      <c r="AE17" s="500" t="s">
        <v>20</v>
      </c>
    </row>
    <row r="18" spans="2:31" ht="15" customHeight="1" x14ac:dyDescent="0.15">
      <c r="B18" s="490"/>
      <c r="C18" s="476"/>
      <c r="D18" s="225" t="s">
        <v>25</v>
      </c>
      <c r="E18" s="242" t="s">
        <v>126</v>
      </c>
      <c r="F18" s="242" t="s">
        <v>190</v>
      </c>
      <c r="G18" s="242" t="s">
        <v>156</v>
      </c>
      <c r="H18" s="242" t="s">
        <v>157</v>
      </c>
      <c r="I18" s="242" t="s">
        <v>158</v>
      </c>
      <c r="J18" s="242" t="s">
        <v>159</v>
      </c>
      <c r="K18" s="242" t="s">
        <v>167</v>
      </c>
      <c r="L18" s="242" t="s">
        <v>146</v>
      </c>
      <c r="M18" s="242" t="s">
        <v>162</v>
      </c>
      <c r="N18" s="242" t="s">
        <v>186</v>
      </c>
      <c r="O18" s="242" t="s">
        <v>147</v>
      </c>
      <c r="P18" s="242" t="s">
        <v>139</v>
      </c>
      <c r="Q18" s="242" t="s">
        <v>148</v>
      </c>
      <c r="R18" s="242" t="s">
        <v>149</v>
      </c>
      <c r="S18" s="242" t="s">
        <v>164</v>
      </c>
      <c r="T18" s="242" t="s">
        <v>150</v>
      </c>
      <c r="U18" s="242" t="s">
        <v>165</v>
      </c>
      <c r="V18" s="242" t="s">
        <v>187</v>
      </c>
      <c r="W18" s="242" t="s">
        <v>188</v>
      </c>
      <c r="X18" s="242" t="s">
        <v>189</v>
      </c>
      <c r="Y18" s="193"/>
      <c r="Z18" s="193"/>
      <c r="AA18" s="193"/>
      <c r="AB18" s="21"/>
      <c r="AC18" s="501"/>
      <c r="AD18" s="501"/>
      <c r="AE18" s="501"/>
    </row>
    <row r="19" spans="2:31" ht="15" customHeight="1" x14ac:dyDescent="0.15">
      <c r="B19" s="490"/>
      <c r="C19" s="476"/>
      <c r="D19" s="472" t="s">
        <v>24</v>
      </c>
      <c r="E19" s="194">
        <v>0.33333333333333331</v>
      </c>
      <c r="F19" s="194">
        <v>0.33333333333333331</v>
      </c>
      <c r="G19" s="194">
        <v>0.625</v>
      </c>
      <c r="H19" s="194">
        <v>0.33333333333333331</v>
      </c>
      <c r="I19" s="194">
        <v>0.29166666666666669</v>
      </c>
      <c r="J19" s="194">
        <v>0.33333333333333331</v>
      </c>
      <c r="K19" s="194">
        <v>0.625</v>
      </c>
      <c r="L19" s="194">
        <v>0.33333333333333331</v>
      </c>
      <c r="M19" s="194">
        <v>0.33333333333333331</v>
      </c>
      <c r="N19" s="194">
        <v>0.33333333333333331</v>
      </c>
      <c r="O19" s="194">
        <v>0.33333333333333331</v>
      </c>
      <c r="P19" s="194">
        <v>0.66666666666666663</v>
      </c>
      <c r="Q19" s="194">
        <v>0.66666666666666663</v>
      </c>
      <c r="R19" s="194">
        <v>0.66666666666666663</v>
      </c>
      <c r="S19" s="194">
        <v>0.66666666666666663</v>
      </c>
      <c r="T19" s="194">
        <v>0.625</v>
      </c>
      <c r="U19" s="194">
        <v>0.29166666666666669</v>
      </c>
      <c r="V19" s="194">
        <v>0.29166666666666669</v>
      </c>
      <c r="W19" s="194">
        <v>0.33333333333333331</v>
      </c>
      <c r="X19" s="194">
        <v>0.625</v>
      </c>
      <c r="Y19" s="194"/>
      <c r="Z19" s="194"/>
      <c r="AA19" s="194"/>
      <c r="AB19" s="24"/>
      <c r="AC19" s="501"/>
      <c r="AD19" s="501"/>
      <c r="AE19" s="501"/>
    </row>
    <row r="20" spans="2:31" ht="15" customHeight="1" x14ac:dyDescent="0.15">
      <c r="B20" s="490"/>
      <c r="C20" s="476"/>
      <c r="D20" s="473"/>
      <c r="E20" s="195" t="s">
        <v>4</v>
      </c>
      <c r="F20" s="195" t="s">
        <v>46</v>
      </c>
      <c r="G20" s="195" t="s">
        <v>4</v>
      </c>
      <c r="H20" s="195" t="s">
        <v>46</v>
      </c>
      <c r="I20" s="196" t="s">
        <v>4</v>
      </c>
      <c r="J20" s="195" t="s">
        <v>46</v>
      </c>
      <c r="K20" s="195" t="s">
        <v>4</v>
      </c>
      <c r="L20" s="196" t="s">
        <v>4</v>
      </c>
      <c r="M20" s="195" t="s">
        <v>46</v>
      </c>
      <c r="N20" s="195" t="s">
        <v>46</v>
      </c>
      <c r="O20" s="196" t="s">
        <v>4</v>
      </c>
      <c r="P20" s="196" t="s">
        <v>4</v>
      </c>
      <c r="Q20" s="195" t="s">
        <v>46</v>
      </c>
      <c r="R20" s="195" t="s">
        <v>4</v>
      </c>
      <c r="S20" s="195" t="s">
        <v>4</v>
      </c>
      <c r="T20" s="195" t="s">
        <v>4</v>
      </c>
      <c r="U20" s="196" t="s">
        <v>4</v>
      </c>
      <c r="V20" s="195" t="s">
        <v>46</v>
      </c>
      <c r="W20" s="196" t="s">
        <v>4</v>
      </c>
      <c r="X20" s="195" t="s">
        <v>4</v>
      </c>
      <c r="Y20" s="195"/>
      <c r="Z20" s="196"/>
      <c r="AA20" s="196"/>
      <c r="AB20" s="45"/>
      <c r="AC20" s="501"/>
      <c r="AD20" s="501"/>
      <c r="AE20" s="501"/>
    </row>
    <row r="21" spans="2:31" ht="15" customHeight="1" x14ac:dyDescent="0.15">
      <c r="B21" s="490"/>
      <c r="C21" s="476"/>
      <c r="D21" s="474"/>
      <c r="E21" s="197">
        <v>0.41666666666666669</v>
      </c>
      <c r="F21" s="197">
        <v>0.41666666666666669</v>
      </c>
      <c r="G21" s="197">
        <v>0.70833333333333337</v>
      </c>
      <c r="H21" s="197">
        <v>0.41666666666666669</v>
      </c>
      <c r="I21" s="197">
        <v>0.375</v>
      </c>
      <c r="J21" s="197">
        <v>0.41666666666666669</v>
      </c>
      <c r="K21" s="197">
        <v>0.70833333333333337</v>
      </c>
      <c r="L21" s="197">
        <v>0.41666666666666669</v>
      </c>
      <c r="M21" s="197">
        <v>0.41666666666666669</v>
      </c>
      <c r="N21" s="197">
        <v>0.41666666666666669</v>
      </c>
      <c r="O21" s="197">
        <v>0.41666666666666669</v>
      </c>
      <c r="P21" s="197">
        <v>0.75</v>
      </c>
      <c r="Q21" s="197">
        <v>0.70833333333333337</v>
      </c>
      <c r="R21" s="197">
        <v>0.70833333333333337</v>
      </c>
      <c r="S21" s="197">
        <v>0.75</v>
      </c>
      <c r="T21" s="197">
        <v>0.66666666666666663</v>
      </c>
      <c r="U21" s="197">
        <v>0.375</v>
      </c>
      <c r="V21" s="197">
        <v>0.375</v>
      </c>
      <c r="W21" s="197">
        <v>0.41666666666666669</v>
      </c>
      <c r="X21" s="197">
        <v>0.70833333333333337</v>
      </c>
      <c r="Y21" s="197"/>
      <c r="Z21" s="197"/>
      <c r="AA21" s="197"/>
      <c r="AB21" s="25"/>
      <c r="AC21" s="501"/>
      <c r="AD21" s="501"/>
      <c r="AE21" s="501"/>
    </row>
    <row r="22" spans="2:31" ht="15" customHeight="1" x14ac:dyDescent="0.15">
      <c r="B22" s="490"/>
      <c r="C22" s="476"/>
      <c r="D22" s="226" t="s">
        <v>5</v>
      </c>
      <c r="E22" s="199">
        <v>2</v>
      </c>
      <c r="F22" s="199">
        <v>2</v>
      </c>
      <c r="G22" s="199">
        <v>2</v>
      </c>
      <c r="H22" s="199">
        <v>2</v>
      </c>
      <c r="I22" s="199">
        <v>2</v>
      </c>
      <c r="J22" s="199">
        <v>2</v>
      </c>
      <c r="K22" s="199">
        <v>2</v>
      </c>
      <c r="L22" s="199">
        <v>2</v>
      </c>
      <c r="M22" s="199">
        <v>2</v>
      </c>
      <c r="N22" s="199">
        <v>2</v>
      </c>
      <c r="O22" s="199">
        <v>2</v>
      </c>
      <c r="P22" s="199">
        <v>2</v>
      </c>
      <c r="Q22" s="199">
        <v>1</v>
      </c>
      <c r="R22" s="199">
        <v>1</v>
      </c>
      <c r="S22" s="199">
        <v>2</v>
      </c>
      <c r="T22" s="199">
        <v>1</v>
      </c>
      <c r="U22" s="199">
        <v>2</v>
      </c>
      <c r="V22" s="199">
        <v>2</v>
      </c>
      <c r="W22" s="199">
        <v>2</v>
      </c>
      <c r="X22" s="199">
        <v>2</v>
      </c>
      <c r="Y22" s="199"/>
      <c r="Z22" s="199"/>
      <c r="AA22" s="199"/>
      <c r="AB22" s="107">
        <f>SUM(E22:AA22)</f>
        <v>37</v>
      </c>
      <c r="AC22" s="501"/>
      <c r="AD22" s="501"/>
      <c r="AE22" s="501"/>
    </row>
    <row r="23" spans="2:31" ht="55.5" x14ac:dyDescent="0.15">
      <c r="B23" s="491"/>
      <c r="C23" s="477"/>
      <c r="D23" s="231" t="s">
        <v>15</v>
      </c>
      <c r="E23" s="204" t="s">
        <v>44</v>
      </c>
      <c r="F23" s="204" t="s">
        <v>44</v>
      </c>
      <c r="G23" s="204" t="s">
        <v>44</v>
      </c>
      <c r="H23" s="204" t="s">
        <v>44</v>
      </c>
      <c r="I23" s="204" t="s">
        <v>44</v>
      </c>
      <c r="J23" s="204" t="s">
        <v>44</v>
      </c>
      <c r="K23" s="204" t="s">
        <v>44</v>
      </c>
      <c r="L23" s="204" t="s">
        <v>44</v>
      </c>
      <c r="M23" s="204" t="s">
        <v>44</v>
      </c>
      <c r="N23" s="204" t="s">
        <v>44</v>
      </c>
      <c r="O23" s="204" t="s">
        <v>44</v>
      </c>
      <c r="P23" s="294" t="s">
        <v>206</v>
      </c>
      <c r="Q23" s="294" t="s">
        <v>206</v>
      </c>
      <c r="R23" s="294" t="s">
        <v>206</v>
      </c>
      <c r="S23" s="294" t="s">
        <v>206</v>
      </c>
      <c r="T23" s="204" t="s">
        <v>44</v>
      </c>
      <c r="U23" s="204" t="s">
        <v>44</v>
      </c>
      <c r="V23" s="204" t="s">
        <v>44</v>
      </c>
      <c r="W23" s="204" t="s">
        <v>44</v>
      </c>
      <c r="X23" s="204" t="s">
        <v>44</v>
      </c>
      <c r="Y23" s="204"/>
      <c r="Z23" s="204"/>
      <c r="AA23" s="204"/>
      <c r="AB23" s="51"/>
      <c r="AC23" s="502"/>
      <c r="AD23" s="502"/>
      <c r="AE23" s="502"/>
    </row>
    <row r="24" spans="2:31" ht="15" customHeight="1" x14ac:dyDescent="0.15">
      <c r="B24" s="494">
        <v>2</v>
      </c>
      <c r="C24" s="483" t="s">
        <v>172</v>
      </c>
      <c r="D24" s="225" t="s">
        <v>26</v>
      </c>
      <c r="E24" s="186">
        <v>2000</v>
      </c>
      <c r="F24" s="186">
        <v>2000</v>
      </c>
      <c r="G24" s="186">
        <v>2000</v>
      </c>
      <c r="H24" s="186">
        <v>2000</v>
      </c>
      <c r="I24" s="186">
        <v>2000</v>
      </c>
      <c r="J24" s="186">
        <v>2000</v>
      </c>
      <c r="K24" s="186">
        <v>2000</v>
      </c>
      <c r="L24" s="186">
        <v>2000</v>
      </c>
      <c r="M24" s="186">
        <v>2000</v>
      </c>
      <c r="N24" s="186">
        <v>2000</v>
      </c>
      <c r="O24" s="186">
        <v>2000</v>
      </c>
      <c r="P24" s="186">
        <v>2000</v>
      </c>
      <c r="Q24" s="186">
        <v>1000</v>
      </c>
      <c r="R24" s="186">
        <v>1000</v>
      </c>
      <c r="S24" s="186">
        <v>2000</v>
      </c>
      <c r="T24" s="186">
        <v>1000</v>
      </c>
      <c r="U24" s="186">
        <v>2000</v>
      </c>
      <c r="V24" s="186">
        <v>2000</v>
      </c>
      <c r="W24" s="186">
        <v>2000</v>
      </c>
      <c r="X24" s="186">
        <v>2000</v>
      </c>
      <c r="Y24" s="186"/>
      <c r="Z24" s="186"/>
      <c r="AA24" s="186"/>
      <c r="AB24" s="52"/>
      <c r="AC24" s="103">
        <f>SUM(E24:AB24)</f>
        <v>37000</v>
      </c>
      <c r="AD24" s="485">
        <f>AC24+AC25+AC26+AC27+AC28</f>
        <v>54900</v>
      </c>
      <c r="AE24" s="512"/>
    </row>
    <row r="25" spans="2:31" ht="15" customHeight="1" x14ac:dyDescent="0.15">
      <c r="B25" s="494"/>
      <c r="C25" s="476"/>
      <c r="D25" s="228" t="s">
        <v>29</v>
      </c>
      <c r="E25" s="187">
        <v>700</v>
      </c>
      <c r="F25" s="187"/>
      <c r="G25" s="187"/>
      <c r="H25" s="187">
        <v>700</v>
      </c>
      <c r="I25" s="187">
        <v>700</v>
      </c>
      <c r="J25" s="187">
        <v>700</v>
      </c>
      <c r="K25" s="187">
        <v>700</v>
      </c>
      <c r="L25" s="187">
        <v>700</v>
      </c>
      <c r="M25" s="187"/>
      <c r="N25" s="187">
        <v>350</v>
      </c>
      <c r="O25" s="187">
        <v>700</v>
      </c>
      <c r="P25" s="187"/>
      <c r="Q25" s="187"/>
      <c r="R25" s="187"/>
      <c r="S25" s="187"/>
      <c r="T25" s="187">
        <v>350</v>
      </c>
      <c r="U25" s="187">
        <v>700</v>
      </c>
      <c r="V25" s="187"/>
      <c r="W25" s="187"/>
      <c r="X25" s="187">
        <v>700</v>
      </c>
      <c r="Y25" s="187"/>
      <c r="Z25" s="187"/>
      <c r="AA25" s="187"/>
      <c r="AB25" s="53"/>
      <c r="AC25" s="104">
        <f>SUM(E25:AB25)</f>
        <v>7000</v>
      </c>
      <c r="AD25" s="486"/>
      <c r="AE25" s="490"/>
    </row>
    <row r="26" spans="2:31" ht="15" customHeight="1" x14ac:dyDescent="0.15">
      <c r="B26" s="494"/>
      <c r="C26" s="476"/>
      <c r="D26" s="229" t="s">
        <v>35</v>
      </c>
      <c r="E26" s="189"/>
      <c r="F26" s="189">
        <v>1600</v>
      </c>
      <c r="G26" s="189">
        <v>1600</v>
      </c>
      <c r="H26" s="189"/>
      <c r="I26" s="189"/>
      <c r="J26" s="189"/>
      <c r="K26" s="189"/>
      <c r="L26" s="189"/>
      <c r="M26" s="189">
        <v>1600</v>
      </c>
      <c r="N26" s="189">
        <v>800</v>
      </c>
      <c r="O26" s="187"/>
      <c r="P26" s="189"/>
      <c r="Q26" s="189"/>
      <c r="R26" s="189"/>
      <c r="S26" s="189"/>
      <c r="T26" s="189"/>
      <c r="U26" s="189"/>
      <c r="V26" s="189">
        <v>1600</v>
      </c>
      <c r="W26" s="189">
        <v>1600</v>
      </c>
      <c r="X26" s="189"/>
      <c r="Y26" s="189"/>
      <c r="Z26" s="189"/>
      <c r="AA26" s="189"/>
      <c r="AB26" s="54"/>
      <c r="AC26" s="104">
        <f>SUM(E26:AB26)</f>
        <v>8800</v>
      </c>
      <c r="AD26" s="486"/>
      <c r="AE26" s="490"/>
    </row>
    <row r="27" spans="2:31" ht="15" customHeight="1" x14ac:dyDescent="0.15">
      <c r="B27" s="494"/>
      <c r="C27" s="476"/>
      <c r="D27" s="229" t="s">
        <v>203</v>
      </c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>
        <v>700</v>
      </c>
      <c r="Q27" s="189">
        <v>350</v>
      </c>
      <c r="R27" s="189">
        <v>350</v>
      </c>
      <c r="S27" s="189">
        <v>700</v>
      </c>
      <c r="T27" s="189"/>
      <c r="U27" s="189"/>
      <c r="V27" s="189"/>
      <c r="W27" s="189"/>
      <c r="X27" s="189"/>
      <c r="Y27" s="189"/>
      <c r="Z27" s="189"/>
      <c r="AA27" s="189"/>
      <c r="AB27" s="54"/>
      <c r="AC27" s="104">
        <f>SUM(E27:AB27)</f>
        <v>2100</v>
      </c>
      <c r="AD27" s="486"/>
      <c r="AE27" s="490"/>
    </row>
    <row r="28" spans="2:31" ht="15" customHeight="1" x14ac:dyDescent="0.15">
      <c r="B28" s="494"/>
      <c r="C28" s="484"/>
      <c r="D28" s="230" t="s">
        <v>27</v>
      </c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55"/>
      <c r="AC28" s="105">
        <f>SUM(E28:AB28)</f>
        <v>0</v>
      </c>
      <c r="AD28" s="487"/>
      <c r="AE28" s="490"/>
    </row>
    <row r="29" spans="2:31" ht="6" customHeight="1" x14ac:dyDescent="0.15">
      <c r="B29" s="2"/>
      <c r="D29" s="12"/>
      <c r="E29" s="50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6"/>
      <c r="Y29" s="57"/>
      <c r="Z29" s="57"/>
      <c r="AA29" s="56"/>
      <c r="AB29" s="57"/>
      <c r="AC29" s="49"/>
      <c r="AD29" s="7"/>
      <c r="AE29" s="7"/>
    </row>
    <row r="30" spans="2:31" ht="15" customHeight="1" x14ac:dyDescent="0.15">
      <c r="B30" s="489"/>
      <c r="C30" s="475" t="s">
        <v>23</v>
      </c>
      <c r="D30" s="3" t="s">
        <v>32</v>
      </c>
      <c r="E30" s="162">
        <v>1</v>
      </c>
      <c r="F30" s="162">
        <v>2</v>
      </c>
      <c r="G30" s="162">
        <v>3</v>
      </c>
      <c r="H30" s="162">
        <v>4</v>
      </c>
      <c r="I30" s="162">
        <v>5</v>
      </c>
      <c r="J30" s="162">
        <v>6</v>
      </c>
      <c r="K30" s="162">
        <v>7</v>
      </c>
      <c r="L30" s="162">
        <v>8</v>
      </c>
      <c r="M30" s="162">
        <v>9</v>
      </c>
      <c r="N30" s="162">
        <v>10</v>
      </c>
      <c r="O30" s="162">
        <v>11</v>
      </c>
      <c r="P30" s="162">
        <v>12</v>
      </c>
      <c r="Q30" s="162">
        <v>13</v>
      </c>
      <c r="R30" s="162">
        <v>14</v>
      </c>
      <c r="S30" s="162">
        <v>15</v>
      </c>
      <c r="T30" s="162">
        <v>16</v>
      </c>
      <c r="U30" s="162">
        <v>17</v>
      </c>
      <c r="V30" s="162">
        <v>18</v>
      </c>
      <c r="W30" s="162">
        <v>19</v>
      </c>
      <c r="X30" s="162">
        <v>20</v>
      </c>
      <c r="Y30" s="162">
        <v>21</v>
      </c>
      <c r="Z30" s="162">
        <v>22</v>
      </c>
      <c r="AA30" s="162">
        <v>23</v>
      </c>
      <c r="AB30" s="162" t="s">
        <v>55</v>
      </c>
      <c r="AC30" s="469" t="s">
        <v>22</v>
      </c>
      <c r="AD30" s="469" t="s">
        <v>21</v>
      </c>
      <c r="AE30" s="469" t="s">
        <v>20</v>
      </c>
    </row>
    <row r="31" spans="2:31" ht="15" customHeight="1" x14ac:dyDescent="0.15">
      <c r="B31" s="490"/>
      <c r="C31" s="476"/>
      <c r="D31" s="225" t="s">
        <v>25</v>
      </c>
      <c r="E31" s="242" t="s">
        <v>126</v>
      </c>
      <c r="F31" s="242" t="s">
        <v>190</v>
      </c>
      <c r="G31" s="242" t="s">
        <v>191</v>
      </c>
      <c r="H31" s="242" t="s">
        <v>166</v>
      </c>
      <c r="I31" s="242" t="s">
        <v>192</v>
      </c>
      <c r="J31" s="242" t="s">
        <v>193</v>
      </c>
      <c r="K31" s="242" t="s">
        <v>160</v>
      </c>
      <c r="L31" s="242" t="s">
        <v>129</v>
      </c>
      <c r="M31" s="242" t="s">
        <v>130</v>
      </c>
      <c r="N31" s="242" t="s">
        <v>168</v>
      </c>
      <c r="O31" s="242" t="s">
        <v>163</v>
      </c>
      <c r="P31" s="242" t="s">
        <v>194</v>
      </c>
      <c r="Q31" s="242" t="s">
        <v>147</v>
      </c>
      <c r="R31" s="242" t="s">
        <v>195</v>
      </c>
      <c r="S31" s="242" t="s">
        <v>196</v>
      </c>
      <c r="T31" s="242" t="s">
        <v>179</v>
      </c>
      <c r="U31" s="242" t="s">
        <v>197</v>
      </c>
      <c r="V31" s="242" t="s">
        <v>198</v>
      </c>
      <c r="W31" s="242" t="s">
        <v>199</v>
      </c>
      <c r="X31" s="242"/>
      <c r="Y31" s="21"/>
      <c r="Z31" s="21"/>
      <c r="AA31" s="21"/>
      <c r="AB31" s="193"/>
      <c r="AC31" s="470"/>
      <c r="AD31" s="470"/>
      <c r="AE31" s="470"/>
    </row>
    <row r="32" spans="2:31" ht="15" customHeight="1" x14ac:dyDescent="0.15">
      <c r="B32" s="490"/>
      <c r="C32" s="476"/>
      <c r="D32" s="472" t="s">
        <v>24</v>
      </c>
      <c r="E32" s="194">
        <v>0.33333333333333331</v>
      </c>
      <c r="F32" s="194">
        <v>0.33333333333333331</v>
      </c>
      <c r="G32" s="194">
        <v>0.33333333333333331</v>
      </c>
      <c r="H32" s="194">
        <v>0.33333333333333331</v>
      </c>
      <c r="I32" s="194">
        <v>0.29166666666666669</v>
      </c>
      <c r="J32" s="194">
        <v>0.33333333333333331</v>
      </c>
      <c r="K32" s="194">
        <v>0.29166666666666669</v>
      </c>
      <c r="L32" s="194">
        <v>0.33333333333333331</v>
      </c>
      <c r="M32" s="194">
        <v>0.33333333333333331</v>
      </c>
      <c r="N32" s="194">
        <v>0.29166666666666669</v>
      </c>
      <c r="O32" s="194">
        <v>0.33333333333333331</v>
      </c>
      <c r="P32" s="194">
        <v>0.33333333333333298</v>
      </c>
      <c r="Q32" s="194">
        <v>0.29166666666666669</v>
      </c>
      <c r="R32" s="194">
        <v>0.66666666666666663</v>
      </c>
      <c r="S32" s="194">
        <v>0.66666666666666663</v>
      </c>
      <c r="T32" s="194">
        <v>0.66666666666666663</v>
      </c>
      <c r="U32" s="194">
        <v>0.33333333333333331</v>
      </c>
      <c r="V32" s="194">
        <v>0.33333333333333331</v>
      </c>
      <c r="W32" s="194">
        <v>0.33333333333333331</v>
      </c>
      <c r="X32" s="194"/>
      <c r="Y32" s="194"/>
      <c r="Z32" s="24"/>
      <c r="AA32" s="24"/>
      <c r="AB32" s="194"/>
      <c r="AC32" s="470"/>
      <c r="AD32" s="470"/>
      <c r="AE32" s="470"/>
    </row>
    <row r="33" spans="2:31" ht="15" customHeight="1" x14ac:dyDescent="0.15">
      <c r="B33" s="490"/>
      <c r="C33" s="476"/>
      <c r="D33" s="473"/>
      <c r="E33" s="196" t="s">
        <v>4</v>
      </c>
      <c r="F33" s="195" t="s">
        <v>4</v>
      </c>
      <c r="G33" s="195" t="s">
        <v>4</v>
      </c>
      <c r="H33" s="195" t="s">
        <v>4</v>
      </c>
      <c r="I33" s="195" t="s">
        <v>4</v>
      </c>
      <c r="J33" s="195" t="s">
        <v>4</v>
      </c>
      <c r="K33" s="196" t="s">
        <v>4</v>
      </c>
      <c r="L33" s="195" t="s">
        <v>4</v>
      </c>
      <c r="M33" s="195" t="s">
        <v>4</v>
      </c>
      <c r="N33" s="195" t="s">
        <v>4</v>
      </c>
      <c r="O33" s="196" t="s">
        <v>4</v>
      </c>
      <c r="P33" s="196" t="s">
        <v>4</v>
      </c>
      <c r="Q33" s="196" t="s">
        <v>4</v>
      </c>
      <c r="R33" s="196" t="s">
        <v>4</v>
      </c>
      <c r="S33" s="195" t="s">
        <v>4</v>
      </c>
      <c r="T33" s="196" t="s">
        <v>4</v>
      </c>
      <c r="U33" s="195" t="s">
        <v>4</v>
      </c>
      <c r="V33" s="196" t="s">
        <v>4</v>
      </c>
      <c r="W33" s="195" t="s">
        <v>4</v>
      </c>
      <c r="X33" s="196"/>
      <c r="Y33" s="196"/>
      <c r="Z33" s="45"/>
      <c r="AA33" s="45"/>
      <c r="AB33" s="195"/>
      <c r="AC33" s="470"/>
      <c r="AD33" s="470"/>
      <c r="AE33" s="470"/>
    </row>
    <row r="34" spans="2:31" ht="15" customHeight="1" x14ac:dyDescent="0.15">
      <c r="B34" s="490"/>
      <c r="C34" s="476"/>
      <c r="D34" s="474"/>
      <c r="E34" s="197">
        <v>0.41666666666666669</v>
      </c>
      <c r="F34" s="197">
        <v>0.375</v>
      </c>
      <c r="G34" s="197">
        <v>0.41666666666666669</v>
      </c>
      <c r="H34" s="197">
        <v>0.41666666666666669</v>
      </c>
      <c r="I34" s="197">
        <v>0.375</v>
      </c>
      <c r="J34" s="197">
        <v>0.41666666666666669</v>
      </c>
      <c r="K34" s="197">
        <v>0.375</v>
      </c>
      <c r="L34" s="197">
        <v>0.41666666666666669</v>
      </c>
      <c r="M34" s="197">
        <v>0.41666666666666669</v>
      </c>
      <c r="N34" s="197">
        <v>0.375</v>
      </c>
      <c r="O34" s="197">
        <v>0.375</v>
      </c>
      <c r="P34" s="197">
        <v>0.41666666666666702</v>
      </c>
      <c r="Q34" s="197">
        <v>0.375</v>
      </c>
      <c r="R34" s="197">
        <v>0.75</v>
      </c>
      <c r="S34" s="197">
        <v>0.75</v>
      </c>
      <c r="T34" s="197">
        <v>0.75</v>
      </c>
      <c r="U34" s="197">
        <v>0.41666666666666669</v>
      </c>
      <c r="V34" s="197">
        <v>0.41666666666666669</v>
      </c>
      <c r="W34" s="197">
        <v>0.41666666666666669</v>
      </c>
      <c r="X34" s="197"/>
      <c r="Y34" s="197"/>
      <c r="Z34" s="25"/>
      <c r="AA34" s="25"/>
      <c r="AB34" s="197"/>
      <c r="AC34" s="470"/>
      <c r="AD34" s="470"/>
      <c r="AE34" s="470"/>
    </row>
    <row r="35" spans="2:31" ht="15" customHeight="1" x14ac:dyDescent="0.15">
      <c r="B35" s="490"/>
      <c r="C35" s="476"/>
      <c r="D35" s="226" t="s">
        <v>5</v>
      </c>
      <c r="E35" s="199">
        <v>2</v>
      </c>
      <c r="F35" s="199">
        <v>1</v>
      </c>
      <c r="G35" s="199">
        <v>2</v>
      </c>
      <c r="H35" s="199">
        <v>2</v>
      </c>
      <c r="I35" s="199">
        <v>2</v>
      </c>
      <c r="J35" s="199">
        <v>2</v>
      </c>
      <c r="K35" s="199">
        <v>2</v>
      </c>
      <c r="L35" s="199">
        <v>2</v>
      </c>
      <c r="M35" s="199">
        <v>2</v>
      </c>
      <c r="N35" s="199">
        <v>2</v>
      </c>
      <c r="O35" s="199">
        <v>1</v>
      </c>
      <c r="P35" s="199">
        <v>2</v>
      </c>
      <c r="Q35" s="199">
        <v>2</v>
      </c>
      <c r="R35" s="199">
        <v>2</v>
      </c>
      <c r="S35" s="199">
        <v>2</v>
      </c>
      <c r="T35" s="199">
        <v>2</v>
      </c>
      <c r="U35" s="199">
        <v>2</v>
      </c>
      <c r="V35" s="199">
        <v>2</v>
      </c>
      <c r="W35" s="199">
        <v>2</v>
      </c>
      <c r="X35" s="199"/>
      <c r="Y35" s="199"/>
      <c r="Z35" s="22"/>
      <c r="AA35" s="22"/>
      <c r="AB35" s="107">
        <f>SUM(E35:AA35)</f>
        <v>36</v>
      </c>
      <c r="AC35" s="470"/>
      <c r="AD35" s="470"/>
      <c r="AE35" s="470"/>
    </row>
    <row r="36" spans="2:31" ht="55.5" x14ac:dyDescent="0.15">
      <c r="B36" s="491"/>
      <c r="C36" s="477"/>
      <c r="D36" s="231" t="s">
        <v>15</v>
      </c>
      <c r="E36" s="200" t="s">
        <v>44</v>
      </c>
      <c r="F36" s="204" t="s">
        <v>44</v>
      </c>
      <c r="G36" s="204" t="s">
        <v>44</v>
      </c>
      <c r="H36" s="204" t="s">
        <v>44</v>
      </c>
      <c r="I36" s="204" t="s">
        <v>44</v>
      </c>
      <c r="J36" s="204" t="s">
        <v>44</v>
      </c>
      <c r="K36" s="204" t="s">
        <v>44</v>
      </c>
      <c r="L36" s="204" t="s">
        <v>120</v>
      </c>
      <c r="M36" s="204" t="s">
        <v>44</v>
      </c>
      <c r="N36" s="204" t="s">
        <v>44</v>
      </c>
      <c r="O36" s="204" t="s">
        <v>44</v>
      </c>
      <c r="P36" s="204" t="s">
        <v>44</v>
      </c>
      <c r="Q36" s="204" t="s">
        <v>44</v>
      </c>
      <c r="R36" s="294" t="s">
        <v>206</v>
      </c>
      <c r="S36" s="294" t="s">
        <v>206</v>
      </c>
      <c r="T36" s="294" t="s">
        <v>206</v>
      </c>
      <c r="U36" s="204" t="s">
        <v>44</v>
      </c>
      <c r="V36" s="204" t="s">
        <v>44</v>
      </c>
      <c r="W36" s="204" t="s">
        <v>44</v>
      </c>
      <c r="X36" s="204"/>
      <c r="Y36" s="204"/>
      <c r="Z36" s="51"/>
      <c r="AA36" s="51"/>
      <c r="AB36" s="204"/>
      <c r="AC36" s="471"/>
      <c r="AD36" s="471"/>
      <c r="AE36" s="471"/>
    </row>
    <row r="37" spans="2:31" ht="15" customHeight="1" x14ac:dyDescent="0.15">
      <c r="B37" s="499">
        <v>3</v>
      </c>
      <c r="C37" s="483" t="s">
        <v>41</v>
      </c>
      <c r="D37" s="225" t="s">
        <v>26</v>
      </c>
      <c r="E37" s="186">
        <v>2000</v>
      </c>
      <c r="F37" s="186">
        <v>1000</v>
      </c>
      <c r="G37" s="186">
        <v>2000</v>
      </c>
      <c r="H37" s="186">
        <v>2000</v>
      </c>
      <c r="I37" s="186">
        <v>2000</v>
      </c>
      <c r="J37" s="186">
        <v>2000</v>
      </c>
      <c r="K37" s="186">
        <v>2000</v>
      </c>
      <c r="L37" s="186">
        <v>2000</v>
      </c>
      <c r="M37" s="186">
        <v>2000</v>
      </c>
      <c r="N37" s="186">
        <v>2000</v>
      </c>
      <c r="O37" s="186">
        <v>1000</v>
      </c>
      <c r="P37" s="186">
        <v>2000</v>
      </c>
      <c r="Q37" s="186">
        <v>2000</v>
      </c>
      <c r="R37" s="186">
        <v>2000</v>
      </c>
      <c r="S37" s="186">
        <v>2000</v>
      </c>
      <c r="T37" s="186">
        <v>2000</v>
      </c>
      <c r="U37" s="186">
        <v>2000</v>
      </c>
      <c r="V37" s="186">
        <v>2000</v>
      </c>
      <c r="W37" s="186">
        <v>2000</v>
      </c>
      <c r="X37" s="186"/>
      <c r="Y37" s="165"/>
      <c r="Z37" s="52"/>
      <c r="AA37" s="52"/>
      <c r="AB37" s="52"/>
      <c r="AC37" s="103">
        <f>SUM(E37:AB37)</f>
        <v>36000</v>
      </c>
      <c r="AD37" s="485">
        <f>AC37+AC38+AC39+AC40+AC41</f>
        <v>54000</v>
      </c>
      <c r="AE37" s="512"/>
    </row>
    <row r="38" spans="2:31" ht="15" customHeight="1" x14ac:dyDescent="0.15">
      <c r="B38" s="499"/>
      <c r="C38" s="476"/>
      <c r="D38" s="228" t="s">
        <v>29</v>
      </c>
      <c r="E38" s="187">
        <v>700</v>
      </c>
      <c r="F38" s="187">
        <v>350</v>
      </c>
      <c r="G38" s="187"/>
      <c r="H38" s="187">
        <v>700</v>
      </c>
      <c r="I38" s="187"/>
      <c r="J38" s="187">
        <v>700</v>
      </c>
      <c r="K38" s="187"/>
      <c r="L38" s="187">
        <v>700</v>
      </c>
      <c r="M38" s="187">
        <v>700</v>
      </c>
      <c r="N38" s="187"/>
      <c r="O38" s="187">
        <v>350</v>
      </c>
      <c r="P38" s="187">
        <v>700</v>
      </c>
      <c r="Q38" s="187"/>
      <c r="R38" s="187"/>
      <c r="S38" s="187"/>
      <c r="T38" s="187"/>
      <c r="U38" s="187"/>
      <c r="V38" s="187">
        <v>700</v>
      </c>
      <c r="W38" s="187">
        <v>700</v>
      </c>
      <c r="X38" s="187"/>
      <c r="Y38" s="166"/>
      <c r="Z38" s="53"/>
      <c r="AA38" s="53"/>
      <c r="AB38" s="53"/>
      <c r="AC38" s="104">
        <f>SUM(E38:AB38)</f>
        <v>6300</v>
      </c>
      <c r="AD38" s="486"/>
      <c r="AE38" s="490"/>
    </row>
    <row r="39" spans="2:31" ht="15" customHeight="1" x14ac:dyDescent="0.15">
      <c r="B39" s="499"/>
      <c r="C39" s="476"/>
      <c r="D39" s="229" t="s">
        <v>35</v>
      </c>
      <c r="E39" s="189"/>
      <c r="F39" s="189"/>
      <c r="G39" s="189">
        <v>1600</v>
      </c>
      <c r="H39" s="189"/>
      <c r="I39" s="189">
        <v>1600</v>
      </c>
      <c r="J39" s="189"/>
      <c r="K39" s="189">
        <v>1600</v>
      </c>
      <c r="L39" s="189"/>
      <c r="M39" s="189"/>
      <c r="N39" s="189">
        <v>1600</v>
      </c>
      <c r="O39" s="189"/>
      <c r="P39" s="189"/>
      <c r="Q39" s="189">
        <v>1600</v>
      </c>
      <c r="R39" s="189"/>
      <c r="S39" s="189"/>
      <c r="T39" s="189"/>
      <c r="U39" s="189">
        <v>1600</v>
      </c>
      <c r="V39" s="189"/>
      <c r="W39" s="189"/>
      <c r="X39" s="189"/>
      <c r="Y39" s="167"/>
      <c r="Z39" s="54"/>
      <c r="AA39" s="54"/>
      <c r="AB39" s="54"/>
      <c r="AC39" s="104">
        <f>SUM(E39:AB39)</f>
        <v>9600</v>
      </c>
      <c r="AD39" s="486"/>
      <c r="AE39" s="490"/>
    </row>
    <row r="40" spans="2:31" ht="15" customHeight="1" x14ac:dyDescent="0.15">
      <c r="B40" s="499"/>
      <c r="C40" s="476"/>
      <c r="D40" s="229" t="s">
        <v>203</v>
      </c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>
        <v>700</v>
      </c>
      <c r="S40" s="189">
        <v>700</v>
      </c>
      <c r="T40" s="189">
        <v>700</v>
      </c>
      <c r="U40" s="189"/>
      <c r="V40" s="189"/>
      <c r="W40" s="189"/>
      <c r="X40" s="189"/>
      <c r="Y40" s="54"/>
      <c r="Z40" s="54"/>
      <c r="AA40" s="54"/>
      <c r="AB40" s="54"/>
      <c r="AC40" s="104">
        <f>SUM(E40:AB40)</f>
        <v>2100</v>
      </c>
      <c r="AD40" s="486"/>
      <c r="AE40" s="490"/>
    </row>
    <row r="41" spans="2:31" ht="15" customHeight="1" x14ac:dyDescent="0.15">
      <c r="B41" s="488"/>
      <c r="C41" s="484"/>
      <c r="D41" s="230" t="s">
        <v>27</v>
      </c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55"/>
      <c r="Z41" s="55"/>
      <c r="AA41" s="55"/>
      <c r="AB41" s="55"/>
      <c r="AC41" s="105">
        <f>SUM(E41:AB41)</f>
        <v>0</v>
      </c>
      <c r="AD41" s="487"/>
      <c r="AE41" s="491"/>
    </row>
    <row r="42" spans="2:31" ht="4.9000000000000004" customHeight="1" x14ac:dyDescent="0.15">
      <c r="B42" s="513"/>
      <c r="C42" s="513"/>
      <c r="D42" s="513"/>
      <c r="E42" s="513"/>
      <c r="F42" s="513"/>
      <c r="G42" s="513"/>
      <c r="H42" s="513"/>
      <c r="I42" s="513"/>
      <c r="J42" s="513"/>
      <c r="K42" s="513"/>
      <c r="L42" s="513"/>
      <c r="M42" s="513"/>
      <c r="N42" s="513"/>
      <c r="O42" s="513"/>
      <c r="P42" s="513"/>
      <c r="Q42" s="513"/>
      <c r="R42" s="513"/>
      <c r="S42" s="513"/>
      <c r="T42" s="513"/>
      <c r="U42" s="513"/>
      <c r="V42" s="513"/>
      <c r="W42" s="513"/>
      <c r="X42" s="513"/>
      <c r="Y42" s="513"/>
      <c r="Z42" s="513"/>
      <c r="AA42" s="513"/>
      <c r="AB42" s="513"/>
      <c r="AC42" s="513"/>
      <c r="AD42" s="513"/>
      <c r="AE42" s="513"/>
    </row>
    <row r="43" spans="2:31" ht="15" customHeight="1" x14ac:dyDescent="0.15">
      <c r="B43" s="489"/>
      <c r="C43" s="475" t="s">
        <v>23</v>
      </c>
      <c r="D43" s="3" t="s">
        <v>32</v>
      </c>
      <c r="E43" s="162">
        <v>1</v>
      </c>
      <c r="F43" s="162">
        <v>2</v>
      </c>
      <c r="G43" s="162">
        <v>3</v>
      </c>
      <c r="H43" s="162">
        <v>4</v>
      </c>
      <c r="I43" s="162">
        <v>5</v>
      </c>
      <c r="J43" s="162">
        <v>6</v>
      </c>
      <c r="K43" s="162">
        <v>7</v>
      </c>
      <c r="L43" s="162">
        <v>8</v>
      </c>
      <c r="M43" s="162">
        <v>9</v>
      </c>
      <c r="N43" s="162">
        <v>10</v>
      </c>
      <c r="O43" s="162">
        <v>11</v>
      </c>
      <c r="P43" s="162">
        <v>12</v>
      </c>
      <c r="Q43" s="162">
        <v>13</v>
      </c>
      <c r="R43" s="162">
        <v>14</v>
      </c>
      <c r="S43" s="162">
        <v>15</v>
      </c>
      <c r="T43" s="162">
        <v>16</v>
      </c>
      <c r="U43" s="162">
        <v>17</v>
      </c>
      <c r="V43" s="162">
        <v>18</v>
      </c>
      <c r="W43" s="162">
        <v>19</v>
      </c>
      <c r="X43" s="162">
        <v>20</v>
      </c>
      <c r="Y43" s="162">
        <v>21</v>
      </c>
      <c r="Z43" s="162">
        <v>22</v>
      </c>
      <c r="AA43" s="162">
        <v>23</v>
      </c>
      <c r="AB43" s="14" t="s">
        <v>55</v>
      </c>
      <c r="AC43" s="500" t="s">
        <v>22</v>
      </c>
      <c r="AD43" s="500" t="s">
        <v>21</v>
      </c>
      <c r="AE43" s="500" t="s">
        <v>20</v>
      </c>
    </row>
    <row r="44" spans="2:31" ht="15" customHeight="1" x14ac:dyDescent="0.15">
      <c r="B44" s="490"/>
      <c r="C44" s="476"/>
      <c r="D44" s="225" t="s">
        <v>25</v>
      </c>
      <c r="E44" s="193">
        <v>45754</v>
      </c>
      <c r="F44" s="193">
        <v>45755</v>
      </c>
      <c r="G44" s="193">
        <v>45757</v>
      </c>
      <c r="H44" s="193">
        <v>45759</v>
      </c>
      <c r="I44" s="193">
        <v>45760</v>
      </c>
      <c r="J44" s="193">
        <v>45763</v>
      </c>
      <c r="K44" s="193">
        <v>45767</v>
      </c>
      <c r="L44" s="193">
        <v>45781</v>
      </c>
      <c r="M44" s="193">
        <v>45785</v>
      </c>
      <c r="N44" s="193">
        <v>45809</v>
      </c>
      <c r="O44" s="193">
        <v>45811</v>
      </c>
      <c r="P44" s="193">
        <v>45818</v>
      </c>
      <c r="Q44" s="193">
        <v>45820</v>
      </c>
      <c r="R44" s="193">
        <v>45846</v>
      </c>
      <c r="S44" s="193">
        <v>45848</v>
      </c>
      <c r="T44" s="193">
        <v>45853</v>
      </c>
      <c r="U44" s="193">
        <v>45881</v>
      </c>
      <c r="V44" s="193">
        <v>45882</v>
      </c>
      <c r="W44" s="193"/>
      <c r="X44" s="21"/>
      <c r="Y44" s="21"/>
      <c r="Z44" s="21"/>
      <c r="AA44" s="21"/>
      <c r="AB44" s="21"/>
      <c r="AC44" s="501"/>
      <c r="AD44" s="501"/>
      <c r="AE44" s="501"/>
    </row>
    <row r="45" spans="2:31" ht="15" customHeight="1" x14ac:dyDescent="0.15">
      <c r="B45" s="490"/>
      <c r="C45" s="476"/>
      <c r="D45" s="472" t="s">
        <v>24</v>
      </c>
      <c r="E45" s="194">
        <v>0.33333333333333331</v>
      </c>
      <c r="F45" s="194">
        <v>0.29166666666666669</v>
      </c>
      <c r="G45" s="194">
        <v>0.58333333333333337</v>
      </c>
      <c r="H45" s="194">
        <v>0.375</v>
      </c>
      <c r="I45" s="194">
        <v>0.29166666666666669</v>
      </c>
      <c r="J45" s="194">
        <v>0.29166666666666669</v>
      </c>
      <c r="K45" s="194">
        <v>0.625</v>
      </c>
      <c r="L45" s="194">
        <v>0.625</v>
      </c>
      <c r="M45" s="194">
        <v>0.33333333333333331</v>
      </c>
      <c r="N45" s="194">
        <v>0.33333333333333331</v>
      </c>
      <c r="O45" s="194">
        <v>0.29166666666666669</v>
      </c>
      <c r="P45" s="194">
        <v>0.625</v>
      </c>
      <c r="Q45" s="194">
        <v>0.66666666666666663</v>
      </c>
      <c r="R45" s="194">
        <v>0.66666666666666663</v>
      </c>
      <c r="S45" s="194">
        <v>0.66666666666666663</v>
      </c>
      <c r="T45" s="194">
        <v>0.66666666666666663</v>
      </c>
      <c r="U45" s="194">
        <v>0.33333333333333331</v>
      </c>
      <c r="V45" s="194">
        <v>0.375</v>
      </c>
      <c r="W45" s="24"/>
      <c r="X45" s="24"/>
      <c r="Y45" s="24"/>
      <c r="Z45" s="24"/>
      <c r="AA45" s="24"/>
      <c r="AB45" s="24"/>
      <c r="AC45" s="501"/>
      <c r="AD45" s="501"/>
      <c r="AE45" s="501"/>
    </row>
    <row r="46" spans="2:31" ht="15" customHeight="1" x14ac:dyDescent="0.15">
      <c r="B46" s="490"/>
      <c r="C46" s="476"/>
      <c r="D46" s="473"/>
      <c r="E46" s="196" t="s">
        <v>4</v>
      </c>
      <c r="F46" s="195" t="s">
        <v>46</v>
      </c>
      <c r="G46" s="195" t="s">
        <v>4</v>
      </c>
      <c r="H46" s="195" t="s">
        <v>46</v>
      </c>
      <c r="I46" s="196" t="s">
        <v>4</v>
      </c>
      <c r="J46" s="196" t="s">
        <v>4</v>
      </c>
      <c r="K46" s="195" t="s">
        <v>4</v>
      </c>
      <c r="L46" s="195" t="s">
        <v>4</v>
      </c>
      <c r="M46" s="196" t="s">
        <v>4</v>
      </c>
      <c r="N46" s="196" t="s">
        <v>4</v>
      </c>
      <c r="O46" s="196" t="s">
        <v>4</v>
      </c>
      <c r="P46" s="195" t="s">
        <v>4</v>
      </c>
      <c r="Q46" s="195" t="s">
        <v>4</v>
      </c>
      <c r="R46" s="196" t="s">
        <v>4</v>
      </c>
      <c r="S46" s="196" t="s">
        <v>4</v>
      </c>
      <c r="T46" s="195" t="s">
        <v>4</v>
      </c>
      <c r="U46" s="195" t="s">
        <v>4</v>
      </c>
      <c r="V46" s="195" t="s">
        <v>4</v>
      </c>
      <c r="W46" s="45"/>
      <c r="X46" s="45"/>
      <c r="Y46" s="45"/>
      <c r="Z46" s="20"/>
      <c r="AA46" s="20"/>
      <c r="AB46" s="45"/>
      <c r="AC46" s="501"/>
      <c r="AD46" s="501"/>
      <c r="AE46" s="501"/>
    </row>
    <row r="47" spans="2:31" ht="15" customHeight="1" x14ac:dyDescent="0.15">
      <c r="B47" s="490"/>
      <c r="C47" s="476"/>
      <c r="D47" s="474"/>
      <c r="E47" s="197">
        <v>0.41666666666666669</v>
      </c>
      <c r="F47" s="197">
        <v>0.375</v>
      </c>
      <c r="G47" s="197">
        <v>0.66666666666666663</v>
      </c>
      <c r="H47" s="197">
        <v>0.41666666666666669</v>
      </c>
      <c r="I47" s="197">
        <v>0.375</v>
      </c>
      <c r="J47" s="197">
        <v>0.33333333333333331</v>
      </c>
      <c r="K47" s="197">
        <v>0.70833333333333337</v>
      </c>
      <c r="L47" s="197">
        <v>0.70833333333333337</v>
      </c>
      <c r="M47" s="197">
        <v>0.375</v>
      </c>
      <c r="N47" s="197">
        <v>0.375</v>
      </c>
      <c r="O47" s="197">
        <v>0.375</v>
      </c>
      <c r="P47" s="197">
        <v>0.70833333333333337</v>
      </c>
      <c r="Q47" s="197">
        <v>0.70833333333333337</v>
      </c>
      <c r="R47" s="197">
        <v>0.70833333333333337</v>
      </c>
      <c r="S47" s="197">
        <v>0.75</v>
      </c>
      <c r="T47" s="197">
        <v>0.70833333333333337</v>
      </c>
      <c r="U47" s="197">
        <v>0.41666666666666669</v>
      </c>
      <c r="V47" s="197">
        <v>0.41666666666666669</v>
      </c>
      <c r="W47" s="25"/>
      <c r="X47" s="25"/>
      <c r="Y47" s="25"/>
      <c r="Z47" s="25"/>
      <c r="AA47" s="25"/>
      <c r="AB47" s="25"/>
      <c r="AC47" s="501"/>
      <c r="AD47" s="501"/>
      <c r="AE47" s="501"/>
    </row>
    <row r="48" spans="2:31" ht="15" customHeight="1" x14ac:dyDescent="0.15">
      <c r="B48" s="490"/>
      <c r="C48" s="476"/>
      <c r="D48" s="226" t="s">
        <v>5</v>
      </c>
      <c r="E48" s="199">
        <v>2</v>
      </c>
      <c r="F48" s="199">
        <v>2</v>
      </c>
      <c r="G48" s="199">
        <v>2</v>
      </c>
      <c r="H48" s="199">
        <v>1</v>
      </c>
      <c r="I48" s="199">
        <v>2</v>
      </c>
      <c r="J48" s="199">
        <v>1</v>
      </c>
      <c r="K48" s="199">
        <v>2</v>
      </c>
      <c r="L48" s="199">
        <v>2</v>
      </c>
      <c r="M48" s="199">
        <v>1</v>
      </c>
      <c r="N48" s="199">
        <v>1</v>
      </c>
      <c r="O48" s="199">
        <v>2</v>
      </c>
      <c r="P48" s="199">
        <v>2</v>
      </c>
      <c r="Q48" s="199">
        <v>1</v>
      </c>
      <c r="R48" s="199">
        <v>1</v>
      </c>
      <c r="S48" s="199">
        <v>2</v>
      </c>
      <c r="T48" s="199">
        <v>1</v>
      </c>
      <c r="U48" s="199">
        <v>2</v>
      </c>
      <c r="V48" s="199">
        <v>1</v>
      </c>
      <c r="W48" s="22"/>
      <c r="X48" s="22"/>
      <c r="Y48" s="22"/>
      <c r="Z48" s="22"/>
      <c r="AA48" s="22"/>
      <c r="AB48" s="134">
        <f>SUM(E48:AA48)</f>
        <v>28</v>
      </c>
      <c r="AC48" s="501"/>
      <c r="AD48" s="501"/>
      <c r="AE48" s="501"/>
    </row>
    <row r="49" spans="1:32" ht="55.5" x14ac:dyDescent="0.15">
      <c r="B49" s="491"/>
      <c r="C49" s="477"/>
      <c r="D49" s="231" t="s">
        <v>15</v>
      </c>
      <c r="E49" s="200" t="s">
        <v>44</v>
      </c>
      <c r="F49" s="204" t="s">
        <v>44</v>
      </c>
      <c r="G49" s="204" t="s">
        <v>44</v>
      </c>
      <c r="H49" s="204" t="s">
        <v>44</v>
      </c>
      <c r="I49" s="204" t="s">
        <v>44</v>
      </c>
      <c r="J49" s="204" t="s">
        <v>44</v>
      </c>
      <c r="K49" s="204" t="s">
        <v>44</v>
      </c>
      <c r="L49" s="204" t="s">
        <v>44</v>
      </c>
      <c r="M49" s="204" t="s">
        <v>44</v>
      </c>
      <c r="N49" s="204" t="s">
        <v>44</v>
      </c>
      <c r="O49" s="204" t="s">
        <v>44</v>
      </c>
      <c r="P49" s="204" t="s">
        <v>44</v>
      </c>
      <c r="Q49" s="204" t="s">
        <v>44</v>
      </c>
      <c r="R49" s="294" t="s">
        <v>206</v>
      </c>
      <c r="S49" s="294" t="s">
        <v>206</v>
      </c>
      <c r="T49" s="294" t="s">
        <v>206</v>
      </c>
      <c r="U49" s="204" t="s">
        <v>44</v>
      </c>
      <c r="V49" s="204" t="s">
        <v>44</v>
      </c>
      <c r="W49" s="51"/>
      <c r="X49" s="51"/>
      <c r="Y49" s="51"/>
      <c r="Z49" s="51"/>
      <c r="AA49" s="51"/>
      <c r="AB49" s="51"/>
      <c r="AC49" s="502"/>
      <c r="AD49" s="502"/>
      <c r="AE49" s="502"/>
    </row>
    <row r="50" spans="1:32" ht="15" customHeight="1" x14ac:dyDescent="0.15">
      <c r="B50" s="499">
        <v>4</v>
      </c>
      <c r="C50" s="483" t="s">
        <v>42</v>
      </c>
      <c r="D50" s="225" t="s">
        <v>26</v>
      </c>
      <c r="E50" s="186">
        <v>2000</v>
      </c>
      <c r="F50" s="186">
        <v>2000</v>
      </c>
      <c r="G50" s="186">
        <v>2000</v>
      </c>
      <c r="H50" s="186">
        <v>1000</v>
      </c>
      <c r="I50" s="186">
        <v>2000</v>
      </c>
      <c r="J50" s="186">
        <v>1000</v>
      </c>
      <c r="K50" s="186">
        <v>2000</v>
      </c>
      <c r="L50" s="186">
        <v>2000</v>
      </c>
      <c r="M50" s="186">
        <v>1000</v>
      </c>
      <c r="N50" s="186">
        <v>1000</v>
      </c>
      <c r="O50" s="186">
        <v>2000</v>
      </c>
      <c r="P50" s="186">
        <v>2000</v>
      </c>
      <c r="Q50" s="186">
        <v>1000</v>
      </c>
      <c r="R50" s="186">
        <v>1000</v>
      </c>
      <c r="S50" s="186">
        <v>2000</v>
      </c>
      <c r="T50" s="186">
        <v>1000</v>
      </c>
      <c r="U50" s="186">
        <v>2000</v>
      </c>
      <c r="V50" s="165">
        <v>1000</v>
      </c>
      <c r="W50" s="52"/>
      <c r="X50" s="52"/>
      <c r="Y50" s="52"/>
      <c r="Z50" s="52"/>
      <c r="AA50" s="52"/>
      <c r="AB50" s="52"/>
      <c r="AC50" s="106">
        <f>SUM(E50:AB50)</f>
        <v>28000</v>
      </c>
      <c r="AD50" s="485">
        <f>AC50+AC51+AC52+AC53+AC54</f>
        <v>40500</v>
      </c>
      <c r="AE50" s="488"/>
    </row>
    <row r="51" spans="1:32" ht="15" customHeight="1" x14ac:dyDescent="0.15">
      <c r="B51" s="499"/>
      <c r="C51" s="476"/>
      <c r="D51" s="228" t="s">
        <v>29</v>
      </c>
      <c r="E51" s="187">
        <v>700</v>
      </c>
      <c r="F51" s="187">
        <v>700</v>
      </c>
      <c r="G51" s="187"/>
      <c r="H51" s="187"/>
      <c r="I51" s="187">
        <v>700</v>
      </c>
      <c r="J51" s="187"/>
      <c r="K51" s="187">
        <v>350</v>
      </c>
      <c r="L51" s="187">
        <v>700</v>
      </c>
      <c r="M51" s="187"/>
      <c r="N51" s="187">
        <v>350</v>
      </c>
      <c r="O51" s="187">
        <v>700</v>
      </c>
      <c r="P51" s="187">
        <v>700</v>
      </c>
      <c r="Q51" s="187">
        <v>350</v>
      </c>
      <c r="R51" s="187"/>
      <c r="S51" s="187"/>
      <c r="T51" s="187"/>
      <c r="U51" s="187">
        <v>700</v>
      </c>
      <c r="V51" s="166">
        <v>350</v>
      </c>
      <c r="W51" s="53"/>
      <c r="X51" s="53"/>
      <c r="Y51" s="53"/>
      <c r="Z51" s="53"/>
      <c r="AA51" s="53"/>
      <c r="AB51" s="53"/>
      <c r="AC51" s="108">
        <f>SUM(E51:AB51)</f>
        <v>6300</v>
      </c>
      <c r="AD51" s="486"/>
      <c r="AE51" s="488"/>
    </row>
    <row r="52" spans="1:32" ht="15" customHeight="1" x14ac:dyDescent="0.15">
      <c r="B52" s="499"/>
      <c r="C52" s="476"/>
      <c r="D52" s="229" t="s">
        <v>35</v>
      </c>
      <c r="E52" s="189"/>
      <c r="F52" s="189"/>
      <c r="G52" s="189">
        <v>1600</v>
      </c>
      <c r="H52" s="189">
        <v>800</v>
      </c>
      <c r="I52" s="189"/>
      <c r="J52" s="189">
        <v>800</v>
      </c>
      <c r="K52" s="189">
        <v>800</v>
      </c>
      <c r="L52" s="189"/>
      <c r="M52" s="189">
        <v>800</v>
      </c>
      <c r="N52" s="189"/>
      <c r="O52" s="189"/>
      <c r="P52" s="189"/>
      <c r="Q52" s="189"/>
      <c r="R52" s="189"/>
      <c r="S52" s="189"/>
      <c r="T52" s="189"/>
      <c r="U52" s="189"/>
      <c r="V52" s="54"/>
      <c r="W52" s="54"/>
      <c r="X52" s="54"/>
      <c r="Y52" s="54"/>
      <c r="Z52" s="54"/>
      <c r="AA52" s="54"/>
      <c r="AB52" s="54"/>
      <c r="AC52" s="108">
        <f>SUM(E52:AB52)</f>
        <v>4800</v>
      </c>
      <c r="AD52" s="486"/>
      <c r="AE52" s="488"/>
    </row>
    <row r="53" spans="1:32" ht="15" customHeight="1" x14ac:dyDescent="0.15">
      <c r="B53" s="499"/>
      <c r="C53" s="476"/>
      <c r="D53" s="229" t="s">
        <v>203</v>
      </c>
      <c r="E53" s="190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>
        <v>350</v>
      </c>
      <c r="S53" s="189">
        <v>700</v>
      </c>
      <c r="T53" s="189">
        <v>350</v>
      </c>
      <c r="U53" s="189"/>
      <c r="V53" s="54"/>
      <c r="W53" s="54"/>
      <c r="X53" s="54"/>
      <c r="Y53" s="54"/>
      <c r="Z53" s="54"/>
      <c r="AA53" s="54"/>
      <c r="AB53" s="54"/>
      <c r="AC53" s="108">
        <f>SUM(E53:AB53)</f>
        <v>1400</v>
      </c>
      <c r="AD53" s="486"/>
      <c r="AE53" s="488"/>
    </row>
    <row r="54" spans="1:32" ht="15" customHeight="1" x14ac:dyDescent="0.15">
      <c r="B54" s="488"/>
      <c r="C54" s="484"/>
      <c r="D54" s="230" t="s">
        <v>27</v>
      </c>
      <c r="E54" s="192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189"/>
      <c r="Q54" s="206"/>
      <c r="R54" s="206"/>
      <c r="S54" s="206"/>
      <c r="T54" s="206"/>
      <c r="U54" s="206"/>
      <c r="V54" s="55"/>
      <c r="W54" s="55"/>
      <c r="X54" s="55"/>
      <c r="Y54" s="55"/>
      <c r="Z54" s="55"/>
      <c r="AA54" s="55"/>
      <c r="AB54" s="55"/>
      <c r="AC54" s="116">
        <f>SUM(E54:AB54)</f>
        <v>0</v>
      </c>
      <c r="AD54" s="487"/>
      <c r="AE54" s="488"/>
    </row>
    <row r="55" spans="1:32" ht="14.25" x14ac:dyDescent="0.15">
      <c r="B55" s="63"/>
      <c r="C55" s="275"/>
      <c r="D55" s="86"/>
      <c r="E55" s="87"/>
      <c r="F55" s="57"/>
      <c r="G55" s="88"/>
      <c r="H55" s="88"/>
      <c r="I55" s="56"/>
      <c r="J55" s="88"/>
      <c r="K55" s="88"/>
      <c r="L55" s="57"/>
      <c r="M55" s="57"/>
      <c r="N55" s="57"/>
      <c r="O55" s="57"/>
      <c r="P55" s="57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56"/>
      <c r="AC55" s="117"/>
      <c r="AD55" s="118"/>
    </row>
    <row r="56" spans="1:32" s="2" customFormat="1" ht="18" customHeight="1" x14ac:dyDescent="0.15">
      <c r="A56" s="255"/>
      <c r="B56" s="63"/>
      <c r="C56" s="276"/>
      <c r="D56" s="232" t="s">
        <v>73</v>
      </c>
      <c r="E56" s="408">
        <f>E9+E22+E35+E48</f>
        <v>8</v>
      </c>
      <c r="F56" s="408">
        <f>F9+F22+F35+F48</f>
        <v>7</v>
      </c>
      <c r="G56" s="408">
        <f t="shared" ref="G56:AA56" si="0">G9+G22+G35+G48</f>
        <v>8</v>
      </c>
      <c r="H56" s="408">
        <f t="shared" si="0"/>
        <v>7</v>
      </c>
      <c r="I56" s="408">
        <f t="shared" si="0"/>
        <v>7</v>
      </c>
      <c r="J56" s="408">
        <f t="shared" si="0"/>
        <v>7</v>
      </c>
      <c r="K56" s="408">
        <f t="shared" si="0"/>
        <v>8</v>
      </c>
      <c r="L56" s="408">
        <f t="shared" si="0"/>
        <v>7</v>
      </c>
      <c r="M56" s="408">
        <f t="shared" si="0"/>
        <v>7</v>
      </c>
      <c r="N56" s="408">
        <f t="shared" si="0"/>
        <v>7</v>
      </c>
      <c r="O56" s="408">
        <f t="shared" si="0"/>
        <v>6</v>
      </c>
      <c r="P56" s="408">
        <f t="shared" si="0"/>
        <v>8</v>
      </c>
      <c r="Q56" s="408">
        <f t="shared" si="0"/>
        <v>6</v>
      </c>
      <c r="R56" s="408">
        <f t="shared" si="0"/>
        <v>6</v>
      </c>
      <c r="S56" s="408">
        <f t="shared" si="0"/>
        <v>8</v>
      </c>
      <c r="T56" s="408">
        <f t="shared" si="0"/>
        <v>6</v>
      </c>
      <c r="U56" s="408">
        <f t="shared" si="0"/>
        <v>7</v>
      </c>
      <c r="V56" s="408">
        <f t="shared" si="0"/>
        <v>7</v>
      </c>
      <c r="W56" s="408">
        <f t="shared" si="0"/>
        <v>6</v>
      </c>
      <c r="X56" s="408">
        <f t="shared" si="0"/>
        <v>3</v>
      </c>
      <c r="Y56" s="408">
        <f t="shared" si="0"/>
        <v>2</v>
      </c>
      <c r="Z56" s="408">
        <f t="shared" si="0"/>
        <v>2</v>
      </c>
      <c r="AA56" s="408">
        <f t="shared" si="0"/>
        <v>3</v>
      </c>
      <c r="AB56" s="409">
        <f>AB9+AB22+AB35+AB48</f>
        <v>143</v>
      </c>
      <c r="AC56" s="256"/>
      <c r="AD56" s="257"/>
      <c r="AE56" s="521"/>
      <c r="AF56" s="36"/>
    </row>
    <row r="57" spans="1:32" ht="18" customHeight="1" x14ac:dyDescent="0.15">
      <c r="B57" s="64"/>
      <c r="C57" s="277"/>
      <c r="D57" s="233" t="s">
        <v>26</v>
      </c>
      <c r="E57" s="258">
        <f>E11+E24+E37+E50</f>
        <v>8000</v>
      </c>
      <c r="F57" s="258">
        <f t="shared" ref="F57:AA61" si="1">F11+F24+F37+F50</f>
        <v>7000</v>
      </c>
      <c r="G57" s="258">
        <f t="shared" si="1"/>
        <v>8000</v>
      </c>
      <c r="H57" s="258">
        <f t="shared" si="1"/>
        <v>7000</v>
      </c>
      <c r="I57" s="258">
        <f t="shared" si="1"/>
        <v>7000</v>
      </c>
      <c r="J57" s="258">
        <f t="shared" si="1"/>
        <v>7000</v>
      </c>
      <c r="K57" s="258">
        <f t="shared" si="1"/>
        <v>8000</v>
      </c>
      <c r="L57" s="258">
        <f t="shared" si="1"/>
        <v>7000</v>
      </c>
      <c r="M57" s="258">
        <f t="shared" si="1"/>
        <v>7000</v>
      </c>
      <c r="N57" s="258">
        <f t="shared" si="1"/>
        <v>7000</v>
      </c>
      <c r="O57" s="258">
        <f t="shared" si="1"/>
        <v>6000</v>
      </c>
      <c r="P57" s="258">
        <f t="shared" si="1"/>
        <v>8000</v>
      </c>
      <c r="Q57" s="258">
        <f t="shared" si="1"/>
        <v>6000</v>
      </c>
      <c r="R57" s="258">
        <f t="shared" si="1"/>
        <v>6000</v>
      </c>
      <c r="S57" s="258">
        <f t="shared" si="1"/>
        <v>8000</v>
      </c>
      <c r="T57" s="258">
        <f t="shared" si="1"/>
        <v>6000</v>
      </c>
      <c r="U57" s="258">
        <f t="shared" si="1"/>
        <v>7000</v>
      </c>
      <c r="V57" s="258">
        <f t="shared" si="1"/>
        <v>7000</v>
      </c>
      <c r="W57" s="258">
        <f t="shared" si="1"/>
        <v>6000</v>
      </c>
      <c r="X57" s="258">
        <f t="shared" si="1"/>
        <v>3000</v>
      </c>
      <c r="Y57" s="258">
        <f t="shared" si="1"/>
        <v>2000</v>
      </c>
      <c r="Z57" s="258">
        <f t="shared" si="1"/>
        <v>2000</v>
      </c>
      <c r="AA57" s="258">
        <f t="shared" si="1"/>
        <v>3000</v>
      </c>
      <c r="AB57" s="53"/>
      <c r="AC57" s="125">
        <f>AC11+AC24+AC37+AC50</f>
        <v>143000</v>
      </c>
      <c r="AD57" s="486">
        <f>AC57+AC58+AC59+AC60+AC61</f>
        <v>210850</v>
      </c>
      <c r="AE57" s="522"/>
    </row>
    <row r="58" spans="1:32" ht="18" customHeight="1" x14ac:dyDescent="0.15">
      <c r="B58" s="478" t="s">
        <v>262</v>
      </c>
      <c r="C58" s="479"/>
      <c r="D58" s="234" t="s">
        <v>29</v>
      </c>
      <c r="E58" s="259">
        <f t="shared" ref="E58:T61" si="2">E12+E25+E38+E51</f>
        <v>2800</v>
      </c>
      <c r="F58" s="259">
        <f t="shared" si="2"/>
        <v>1050</v>
      </c>
      <c r="G58" s="259">
        <f t="shared" si="2"/>
        <v>700</v>
      </c>
      <c r="H58" s="259">
        <f t="shared" si="2"/>
        <v>2100</v>
      </c>
      <c r="I58" s="259">
        <f t="shared" si="2"/>
        <v>1400</v>
      </c>
      <c r="J58" s="259">
        <f t="shared" si="2"/>
        <v>1750</v>
      </c>
      <c r="K58" s="259">
        <f t="shared" si="2"/>
        <v>1750</v>
      </c>
      <c r="L58" s="259">
        <f t="shared" si="2"/>
        <v>2100</v>
      </c>
      <c r="M58" s="259">
        <f t="shared" si="2"/>
        <v>1400</v>
      </c>
      <c r="N58" s="259">
        <f t="shared" si="2"/>
        <v>1400</v>
      </c>
      <c r="O58" s="259">
        <f t="shared" si="2"/>
        <v>2100</v>
      </c>
      <c r="P58" s="259">
        <f t="shared" si="2"/>
        <v>2100</v>
      </c>
      <c r="Q58" s="259">
        <f t="shared" si="2"/>
        <v>700</v>
      </c>
      <c r="R58" s="259">
        <f t="shared" si="2"/>
        <v>700</v>
      </c>
      <c r="S58" s="259">
        <f t="shared" si="2"/>
        <v>0</v>
      </c>
      <c r="T58" s="259">
        <f t="shared" si="2"/>
        <v>350</v>
      </c>
      <c r="U58" s="259">
        <f t="shared" si="1"/>
        <v>1400</v>
      </c>
      <c r="V58" s="259">
        <f t="shared" si="1"/>
        <v>1050</v>
      </c>
      <c r="W58" s="259">
        <f t="shared" si="1"/>
        <v>1400</v>
      </c>
      <c r="X58" s="259">
        <f t="shared" si="1"/>
        <v>700</v>
      </c>
      <c r="Y58" s="259">
        <f t="shared" si="1"/>
        <v>0</v>
      </c>
      <c r="Z58" s="259">
        <f t="shared" si="1"/>
        <v>700</v>
      </c>
      <c r="AA58" s="259">
        <f t="shared" si="1"/>
        <v>700</v>
      </c>
      <c r="AB58" s="53"/>
      <c r="AC58" s="92">
        <f>AC12+AC25+AC38+AC51</f>
        <v>28350</v>
      </c>
      <c r="AD58" s="486"/>
      <c r="AE58" s="522"/>
    </row>
    <row r="59" spans="1:32" ht="18" customHeight="1" x14ac:dyDescent="0.15">
      <c r="B59" s="478" t="s">
        <v>267</v>
      </c>
      <c r="C59" s="479"/>
      <c r="D59" s="235" t="s">
        <v>35</v>
      </c>
      <c r="E59" s="260">
        <f t="shared" si="2"/>
        <v>0</v>
      </c>
      <c r="F59" s="260">
        <f t="shared" si="1"/>
        <v>3200</v>
      </c>
      <c r="G59" s="260">
        <f t="shared" si="1"/>
        <v>4800</v>
      </c>
      <c r="H59" s="260">
        <f t="shared" si="1"/>
        <v>800</v>
      </c>
      <c r="I59" s="260">
        <f t="shared" si="1"/>
        <v>2400</v>
      </c>
      <c r="J59" s="260">
        <f t="shared" si="1"/>
        <v>1600</v>
      </c>
      <c r="K59" s="260">
        <f t="shared" si="1"/>
        <v>2400</v>
      </c>
      <c r="L59" s="260">
        <f t="shared" si="1"/>
        <v>800</v>
      </c>
      <c r="M59" s="260">
        <f t="shared" si="1"/>
        <v>2400</v>
      </c>
      <c r="N59" s="260">
        <f t="shared" si="1"/>
        <v>2400</v>
      </c>
      <c r="O59" s="260">
        <f t="shared" si="1"/>
        <v>0</v>
      </c>
      <c r="P59" s="260">
        <f t="shared" si="1"/>
        <v>0</v>
      </c>
      <c r="Q59" s="260">
        <f t="shared" si="1"/>
        <v>2400</v>
      </c>
      <c r="R59" s="260">
        <f t="shared" si="1"/>
        <v>0</v>
      </c>
      <c r="S59" s="260">
        <f t="shared" si="1"/>
        <v>1600</v>
      </c>
      <c r="T59" s="260">
        <f t="shared" si="1"/>
        <v>0</v>
      </c>
      <c r="U59" s="260">
        <f t="shared" si="1"/>
        <v>1600</v>
      </c>
      <c r="V59" s="260">
        <f t="shared" si="1"/>
        <v>1600</v>
      </c>
      <c r="W59" s="260">
        <f t="shared" si="1"/>
        <v>1600</v>
      </c>
      <c r="X59" s="260">
        <f t="shared" si="1"/>
        <v>0</v>
      </c>
      <c r="Y59" s="260">
        <f t="shared" si="1"/>
        <v>0</v>
      </c>
      <c r="Z59" s="260">
        <f t="shared" si="1"/>
        <v>0</v>
      </c>
      <c r="AA59" s="260">
        <f t="shared" si="1"/>
        <v>800</v>
      </c>
      <c r="AB59" s="54"/>
      <c r="AC59" s="93">
        <f>AC13+AC26+AC39+AC52</f>
        <v>30400</v>
      </c>
      <c r="AD59" s="486"/>
      <c r="AE59" s="522"/>
    </row>
    <row r="60" spans="1:32" ht="18" customHeight="1" x14ac:dyDescent="0.15">
      <c r="B60" s="64"/>
      <c r="C60" s="277"/>
      <c r="D60" s="235" t="s">
        <v>203</v>
      </c>
      <c r="E60" s="258">
        <f t="shared" si="2"/>
        <v>0</v>
      </c>
      <c r="F60" s="258">
        <f t="shared" si="1"/>
        <v>0</v>
      </c>
      <c r="G60" s="258">
        <f t="shared" si="1"/>
        <v>0</v>
      </c>
      <c r="H60" s="258">
        <f t="shared" si="1"/>
        <v>0</v>
      </c>
      <c r="I60" s="258">
        <f t="shared" si="1"/>
        <v>0</v>
      </c>
      <c r="J60" s="258">
        <f t="shared" si="1"/>
        <v>0</v>
      </c>
      <c r="K60" s="258">
        <f t="shared" si="1"/>
        <v>0</v>
      </c>
      <c r="L60" s="258">
        <f t="shared" si="1"/>
        <v>0</v>
      </c>
      <c r="M60" s="258">
        <f t="shared" si="1"/>
        <v>0</v>
      </c>
      <c r="N60" s="258">
        <f t="shared" si="1"/>
        <v>0</v>
      </c>
      <c r="O60" s="258">
        <f t="shared" si="1"/>
        <v>0</v>
      </c>
      <c r="P60" s="258">
        <f t="shared" si="1"/>
        <v>700</v>
      </c>
      <c r="Q60" s="258">
        <f t="shared" si="1"/>
        <v>350</v>
      </c>
      <c r="R60" s="258">
        <f t="shared" si="1"/>
        <v>1400</v>
      </c>
      <c r="S60" s="258">
        <f t="shared" si="1"/>
        <v>2100</v>
      </c>
      <c r="T60" s="258">
        <f t="shared" si="1"/>
        <v>1750</v>
      </c>
      <c r="U60" s="258">
        <f t="shared" si="1"/>
        <v>350</v>
      </c>
      <c r="V60" s="258">
        <f t="shared" si="1"/>
        <v>700</v>
      </c>
      <c r="W60" s="258">
        <f t="shared" si="1"/>
        <v>700</v>
      </c>
      <c r="X60" s="258">
        <f t="shared" si="1"/>
        <v>350</v>
      </c>
      <c r="Y60" s="258">
        <f t="shared" si="1"/>
        <v>700</v>
      </c>
      <c r="Z60" s="258">
        <f t="shared" si="1"/>
        <v>0</v>
      </c>
      <c r="AA60" s="258">
        <f t="shared" si="1"/>
        <v>0</v>
      </c>
      <c r="AB60" s="54"/>
      <c r="AC60" s="93">
        <f>AC14+AC27+AC40+AC53</f>
        <v>9100</v>
      </c>
      <c r="AD60" s="486"/>
      <c r="AE60" s="522"/>
    </row>
    <row r="61" spans="1:32" ht="18" customHeight="1" x14ac:dyDescent="0.15">
      <c r="B61" s="37"/>
      <c r="C61" s="278"/>
      <c r="D61" s="236" t="s">
        <v>27</v>
      </c>
      <c r="E61" s="259">
        <f t="shared" si="2"/>
        <v>0</v>
      </c>
      <c r="F61" s="261">
        <f t="shared" si="1"/>
        <v>0</v>
      </c>
      <c r="G61" s="259">
        <f t="shared" si="1"/>
        <v>0</v>
      </c>
      <c r="H61" s="261">
        <f t="shared" si="1"/>
        <v>0</v>
      </c>
      <c r="I61" s="261">
        <f t="shared" si="1"/>
        <v>0</v>
      </c>
      <c r="J61" s="261">
        <f t="shared" si="1"/>
        <v>0</v>
      </c>
      <c r="K61" s="259">
        <f t="shared" si="1"/>
        <v>0</v>
      </c>
      <c r="L61" s="259">
        <f t="shared" si="1"/>
        <v>0</v>
      </c>
      <c r="M61" s="261">
        <f t="shared" si="1"/>
        <v>0</v>
      </c>
      <c r="N61" s="261">
        <f t="shared" si="1"/>
        <v>0</v>
      </c>
      <c r="O61" s="261">
        <f t="shared" si="1"/>
        <v>0</v>
      </c>
      <c r="P61" s="261">
        <f t="shared" si="1"/>
        <v>0</v>
      </c>
      <c r="Q61" s="261">
        <f t="shared" si="1"/>
        <v>0</v>
      </c>
      <c r="R61" s="261">
        <f t="shared" si="1"/>
        <v>0</v>
      </c>
      <c r="S61" s="261">
        <f t="shared" si="1"/>
        <v>0</v>
      </c>
      <c r="T61" s="261">
        <f t="shared" si="1"/>
        <v>0</v>
      </c>
      <c r="U61" s="261">
        <f t="shared" si="1"/>
        <v>0</v>
      </c>
      <c r="V61" s="259">
        <f t="shared" si="1"/>
        <v>0</v>
      </c>
      <c r="W61" s="261">
        <f t="shared" si="1"/>
        <v>0</v>
      </c>
      <c r="X61" s="261">
        <f t="shared" si="1"/>
        <v>0</v>
      </c>
      <c r="Y61" s="259">
        <f t="shared" si="1"/>
        <v>0</v>
      </c>
      <c r="Z61" s="261">
        <f t="shared" si="1"/>
        <v>0</v>
      </c>
      <c r="AA61" s="259">
        <f t="shared" si="1"/>
        <v>0</v>
      </c>
      <c r="AB61" s="55"/>
      <c r="AC61" s="94">
        <f>AC15+AC28+AC41+AC54</f>
        <v>0</v>
      </c>
      <c r="AD61" s="487"/>
      <c r="AE61" s="523"/>
    </row>
    <row r="62" spans="1:32" ht="7.15" customHeight="1" x14ac:dyDescent="0.15">
      <c r="B62" s="63"/>
      <c r="C62" s="279"/>
      <c r="D62" s="12"/>
      <c r="E62" s="111"/>
      <c r="F62" s="56"/>
      <c r="G62" s="58"/>
      <c r="H62" s="56"/>
      <c r="I62" s="56"/>
      <c r="J62" s="56"/>
      <c r="K62" s="58"/>
      <c r="L62" s="58"/>
      <c r="M62" s="56"/>
      <c r="N62" s="56"/>
      <c r="O62" s="56"/>
      <c r="P62" s="56"/>
      <c r="Q62" s="56"/>
      <c r="R62" s="56"/>
      <c r="S62" s="56"/>
      <c r="T62" s="56"/>
      <c r="U62" s="56"/>
      <c r="V62" s="58"/>
      <c r="W62" s="56"/>
      <c r="X62" s="56"/>
      <c r="Y62" s="58"/>
      <c r="Z62" s="56"/>
      <c r="AA62" s="58"/>
      <c r="AB62" s="56"/>
      <c r="AC62" s="50"/>
    </row>
    <row r="63" spans="1:32" ht="12.75" customHeight="1" x14ac:dyDescent="0.15">
      <c r="B63" s="2"/>
      <c r="D63" s="12"/>
      <c r="E63" s="50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467" t="s">
        <v>151</v>
      </c>
      <c r="AA63" s="467"/>
      <c r="AB63" s="132" t="s">
        <v>152</v>
      </c>
      <c r="AC63" s="179"/>
      <c r="AD63" s="180"/>
      <c r="AE63" s="181"/>
    </row>
    <row r="64" spans="1:32" ht="12.75" customHeight="1" x14ac:dyDescent="0.15">
      <c r="B64" s="2"/>
      <c r="D64" s="12"/>
      <c r="E64" s="50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132" t="s">
        <v>153</v>
      </c>
      <c r="AC64" s="179"/>
      <c r="AD64" s="179"/>
      <c r="AE64" s="181"/>
    </row>
    <row r="65" spans="1:31" ht="12.75" customHeight="1" x14ac:dyDescent="0.15">
      <c r="B65" s="2"/>
      <c r="D65" s="12"/>
      <c r="E65" s="50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132" t="s">
        <v>154</v>
      </c>
      <c r="AC65" s="179"/>
      <c r="AD65" s="179"/>
      <c r="AE65" s="181"/>
    </row>
    <row r="66" spans="1:31" ht="12.75" customHeight="1" x14ac:dyDescent="0.15">
      <c r="B66" s="2"/>
      <c r="D66" s="12"/>
      <c r="E66" s="50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132" t="s">
        <v>204</v>
      </c>
      <c r="AC66" s="179"/>
      <c r="AD66" s="179"/>
      <c r="AE66" s="181"/>
    </row>
    <row r="67" spans="1:31" ht="12.75" customHeight="1" x14ac:dyDescent="0.15">
      <c r="B67" s="2"/>
      <c r="D67" s="12"/>
      <c r="E67" s="50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132" t="s">
        <v>155</v>
      </c>
      <c r="AC67" s="179"/>
      <c r="AD67" s="179"/>
      <c r="AE67" s="179"/>
    </row>
    <row r="68" spans="1:31" ht="12.75" customHeight="1" x14ac:dyDescent="0.15">
      <c r="B68" s="2"/>
      <c r="D68" s="12"/>
      <c r="E68" s="50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179"/>
      <c r="AC68" s="179"/>
      <c r="AD68" s="179"/>
      <c r="AE68" s="179"/>
    </row>
    <row r="69" spans="1:31" x14ac:dyDescent="0.15">
      <c r="B69" s="2"/>
      <c r="D69" s="12"/>
      <c r="E69" s="50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0"/>
    </row>
    <row r="70" spans="1:31" x14ac:dyDescent="0.15">
      <c r="B70" s="2"/>
      <c r="D70" s="12"/>
      <c r="E70" s="50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0"/>
    </row>
    <row r="71" spans="1:31" x14ac:dyDescent="0.15">
      <c r="B71" s="2"/>
      <c r="D71" s="12"/>
      <c r="E71" s="50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0"/>
      <c r="AD71" s="59">
        <f>AD11+AD24+AD37+AD50</f>
        <v>210850</v>
      </c>
      <c r="AE71" s="47">
        <f>SUM(AE63:AE70)</f>
        <v>0</v>
      </c>
    </row>
    <row r="72" spans="1:31" ht="26.25" customHeight="1" x14ac:dyDescent="0.15">
      <c r="B72" s="497" t="s">
        <v>31</v>
      </c>
      <c r="C72" s="497"/>
      <c r="D72" s="498"/>
      <c r="E72" s="503" t="s">
        <v>291</v>
      </c>
      <c r="F72" s="503"/>
      <c r="G72" s="503"/>
      <c r="P72" s="12"/>
      <c r="Q72" s="12"/>
      <c r="R72" s="12"/>
      <c r="S72" s="496"/>
      <c r="T72" s="467"/>
      <c r="U72" s="39"/>
      <c r="V72" s="504"/>
      <c r="W72" s="505"/>
      <c r="X72" s="505"/>
      <c r="Y72" s="39"/>
      <c r="Z72" s="504"/>
      <c r="AA72" s="505"/>
      <c r="AB72" s="11"/>
      <c r="AC72" s="11"/>
      <c r="AD72" s="11"/>
      <c r="AE72" s="11"/>
    </row>
    <row r="73" spans="1:31" ht="37.5" customHeight="1" x14ac:dyDescent="0.15">
      <c r="A73" s="12"/>
      <c r="B73" s="11"/>
      <c r="C73" s="280"/>
      <c r="D73" s="81" t="s">
        <v>185</v>
      </c>
      <c r="E73" s="73"/>
      <c r="F73"/>
      <c r="G73" s="83"/>
      <c r="H73" s="83"/>
      <c r="I73" s="83"/>
      <c r="J73" s="83"/>
      <c r="K73" s="83"/>
      <c r="L73" s="83"/>
      <c r="M73" s="84" t="s">
        <v>262</v>
      </c>
      <c r="N73" s="84"/>
      <c r="O73" s="290" t="s">
        <v>216</v>
      </c>
      <c r="P73" s="62"/>
      <c r="Q73" s="495" t="s">
        <v>170</v>
      </c>
      <c r="R73" s="495"/>
      <c r="S73" s="495"/>
      <c r="T73" s="12"/>
      <c r="U73" s="12"/>
      <c r="V73" s="12"/>
      <c r="W73" s="12"/>
      <c r="X73" s="12"/>
      <c r="Y73" s="12"/>
      <c r="Z73" s="12"/>
      <c r="AA73" s="12"/>
      <c r="AB73" s="506" t="s">
        <v>218</v>
      </c>
      <c r="AC73" s="506"/>
      <c r="AD73" s="506"/>
      <c r="AE73" s="506"/>
    </row>
    <row r="74" spans="1:31" ht="18" customHeight="1" x14ac:dyDescent="0.15">
      <c r="B74" s="507" t="s">
        <v>19</v>
      </c>
      <c r="C74" s="508"/>
      <c r="D74" s="508"/>
      <c r="E74" s="508"/>
      <c r="F74" s="508"/>
      <c r="G74" s="508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8"/>
      <c r="AB74" s="508"/>
      <c r="AC74" s="508"/>
      <c r="AD74" s="508"/>
      <c r="AE74" s="509"/>
    </row>
    <row r="75" spans="1:31" ht="14.25" x14ac:dyDescent="0.15">
      <c r="B75" s="489"/>
      <c r="C75" s="475" t="s">
        <v>23</v>
      </c>
      <c r="D75" s="3" t="s">
        <v>32</v>
      </c>
      <c r="E75" s="162">
        <v>1</v>
      </c>
      <c r="F75" s="162">
        <v>2</v>
      </c>
      <c r="G75" s="162">
        <v>3</v>
      </c>
      <c r="H75" s="162">
        <v>4</v>
      </c>
      <c r="I75" s="162">
        <v>5</v>
      </c>
      <c r="J75" s="162">
        <v>6</v>
      </c>
      <c r="K75" s="162">
        <v>7</v>
      </c>
      <c r="L75" s="162">
        <v>8</v>
      </c>
      <c r="M75" s="162">
        <v>9</v>
      </c>
      <c r="N75" s="162">
        <v>10</v>
      </c>
      <c r="O75" s="162">
        <v>11</v>
      </c>
      <c r="P75" s="162">
        <v>12</v>
      </c>
      <c r="Q75" s="162">
        <v>13</v>
      </c>
      <c r="R75" s="162">
        <v>14</v>
      </c>
      <c r="S75" s="162">
        <v>15</v>
      </c>
      <c r="T75" s="162">
        <v>16</v>
      </c>
      <c r="U75" s="162">
        <v>17</v>
      </c>
      <c r="V75" s="162">
        <v>18</v>
      </c>
      <c r="W75" s="162">
        <v>19</v>
      </c>
      <c r="X75" s="162">
        <v>20</v>
      </c>
      <c r="Y75" s="162">
        <v>21</v>
      </c>
      <c r="Z75" s="162">
        <v>22</v>
      </c>
      <c r="AA75" s="162">
        <v>23</v>
      </c>
      <c r="AB75" s="162" t="s">
        <v>55</v>
      </c>
      <c r="AC75" s="469" t="s">
        <v>22</v>
      </c>
      <c r="AD75" s="469" t="s">
        <v>21</v>
      </c>
      <c r="AE75" s="469" t="s">
        <v>20</v>
      </c>
    </row>
    <row r="76" spans="1:31" ht="14.25" x14ac:dyDescent="0.15">
      <c r="B76" s="490"/>
      <c r="C76" s="476"/>
      <c r="D76" s="225" t="s">
        <v>25</v>
      </c>
      <c r="E76" s="193">
        <v>45755</v>
      </c>
      <c r="F76" s="193">
        <v>45757</v>
      </c>
      <c r="G76" s="193">
        <v>45760</v>
      </c>
      <c r="H76" s="193">
        <v>45762</v>
      </c>
      <c r="I76" s="193">
        <v>45780</v>
      </c>
      <c r="J76" s="193">
        <v>45785</v>
      </c>
      <c r="K76" s="193">
        <v>45797</v>
      </c>
      <c r="L76" s="193">
        <v>45799</v>
      </c>
      <c r="M76" s="193">
        <v>45810</v>
      </c>
      <c r="N76" s="193">
        <v>45815</v>
      </c>
      <c r="O76" s="193">
        <v>45826</v>
      </c>
      <c r="P76" s="193">
        <v>45856</v>
      </c>
      <c r="Q76" s="193">
        <v>45860</v>
      </c>
      <c r="R76" s="193">
        <v>45863</v>
      </c>
      <c r="S76" s="193">
        <v>45868</v>
      </c>
      <c r="T76" s="193">
        <v>45874</v>
      </c>
      <c r="U76" s="193">
        <v>45875</v>
      </c>
      <c r="V76" s="193">
        <v>45878</v>
      </c>
      <c r="W76" s="193">
        <v>45881</v>
      </c>
      <c r="X76" s="193">
        <v>45882</v>
      </c>
      <c r="Y76" s="193">
        <v>45889</v>
      </c>
      <c r="Z76" s="193">
        <v>45892</v>
      </c>
      <c r="AA76" s="193">
        <v>45893</v>
      </c>
      <c r="AB76" s="193"/>
      <c r="AC76" s="470"/>
      <c r="AD76" s="470"/>
      <c r="AE76" s="470"/>
    </row>
    <row r="77" spans="1:31" ht="14.25" x14ac:dyDescent="0.15">
      <c r="B77" s="490"/>
      <c r="C77" s="476"/>
      <c r="D77" s="472" t="s">
        <v>24</v>
      </c>
      <c r="E77" s="194">
        <v>0.33333333333333331</v>
      </c>
      <c r="F77" s="194">
        <v>0.33333333333333331</v>
      </c>
      <c r="G77" s="194">
        <v>0.625</v>
      </c>
      <c r="H77" s="194">
        <v>0.33333333333333331</v>
      </c>
      <c r="I77" s="194">
        <v>0.33333333333333331</v>
      </c>
      <c r="J77" s="194">
        <v>0.33333333333333331</v>
      </c>
      <c r="K77" s="194">
        <v>0.33333333333333331</v>
      </c>
      <c r="L77" s="194">
        <v>0.33333333333333331</v>
      </c>
      <c r="M77" s="194">
        <v>0.33333333333333331</v>
      </c>
      <c r="N77" s="194">
        <v>0.29166666666666669</v>
      </c>
      <c r="O77" s="194">
        <v>0.33333333333333331</v>
      </c>
      <c r="P77" s="194">
        <v>0.33333333333333331</v>
      </c>
      <c r="Q77" s="194">
        <v>0.66666666666666663</v>
      </c>
      <c r="R77" s="194">
        <v>0.66666666666666663</v>
      </c>
      <c r="S77" s="194">
        <v>0.70833333333333337</v>
      </c>
      <c r="T77" s="194">
        <v>0.33333333333333331</v>
      </c>
      <c r="U77" s="194">
        <v>0.33333333333333331</v>
      </c>
      <c r="V77" s="194">
        <v>0.625</v>
      </c>
      <c r="W77" s="194">
        <v>0.33333333333333331</v>
      </c>
      <c r="X77" s="194">
        <v>0.33333333333333331</v>
      </c>
      <c r="Y77" s="194">
        <v>0.33333333333333331</v>
      </c>
      <c r="Z77" s="194">
        <v>0.33333333333333331</v>
      </c>
      <c r="AA77" s="194">
        <v>0.33333333333333331</v>
      </c>
      <c r="AB77" s="194"/>
      <c r="AC77" s="470"/>
      <c r="AD77" s="470"/>
      <c r="AE77" s="470"/>
    </row>
    <row r="78" spans="1:31" ht="15.75" x14ac:dyDescent="0.15">
      <c r="B78" s="490"/>
      <c r="C78" s="476"/>
      <c r="D78" s="473"/>
      <c r="E78" s="196" t="s">
        <v>4</v>
      </c>
      <c r="F78" s="195" t="s">
        <v>4</v>
      </c>
      <c r="G78" s="195" t="s">
        <v>4</v>
      </c>
      <c r="H78" s="195" t="s">
        <v>4</v>
      </c>
      <c r="I78" s="195" t="s">
        <v>4</v>
      </c>
      <c r="J78" s="196" t="s">
        <v>4</v>
      </c>
      <c r="K78" s="195" t="s">
        <v>4</v>
      </c>
      <c r="L78" s="195" t="s">
        <v>4</v>
      </c>
      <c r="M78" s="195" t="s">
        <v>4</v>
      </c>
      <c r="N78" s="195" t="s">
        <v>4</v>
      </c>
      <c r="O78" s="195" t="s">
        <v>4</v>
      </c>
      <c r="P78" s="195" t="s">
        <v>4</v>
      </c>
      <c r="Q78" s="195" t="s">
        <v>4</v>
      </c>
      <c r="R78" s="195" t="s">
        <v>4</v>
      </c>
      <c r="S78" s="195" t="s">
        <v>4</v>
      </c>
      <c r="T78" s="195" t="s">
        <v>4</v>
      </c>
      <c r="U78" s="195" t="s">
        <v>4</v>
      </c>
      <c r="V78" s="195" t="s">
        <v>4</v>
      </c>
      <c r="W78" s="195" t="s">
        <v>4</v>
      </c>
      <c r="X78" s="195" t="s">
        <v>4</v>
      </c>
      <c r="Y78" s="195" t="s">
        <v>4</v>
      </c>
      <c r="Z78" s="195" t="s">
        <v>4</v>
      </c>
      <c r="AA78" s="195" t="s">
        <v>4</v>
      </c>
      <c r="AB78" s="195"/>
      <c r="AC78" s="470"/>
      <c r="AD78" s="470"/>
      <c r="AE78" s="470"/>
    </row>
    <row r="79" spans="1:31" ht="14.25" x14ac:dyDescent="0.15">
      <c r="B79" s="490"/>
      <c r="C79" s="476"/>
      <c r="D79" s="474"/>
      <c r="E79" s="197">
        <v>0.375</v>
      </c>
      <c r="F79" s="197">
        <v>0.41666666666666669</v>
      </c>
      <c r="G79" s="197">
        <v>0.70833333333333337</v>
      </c>
      <c r="H79" s="197">
        <v>0.41666666666666669</v>
      </c>
      <c r="I79" s="197">
        <v>0.41666666666666669</v>
      </c>
      <c r="J79" s="197">
        <v>0.41666666666666669</v>
      </c>
      <c r="K79" s="197">
        <v>0.375</v>
      </c>
      <c r="L79" s="197">
        <v>0.41666666666666669</v>
      </c>
      <c r="M79" s="197">
        <v>0.41666666666666669</v>
      </c>
      <c r="N79" s="197">
        <v>0.375</v>
      </c>
      <c r="O79" s="197">
        <v>0.41666666666666669</v>
      </c>
      <c r="P79" s="197">
        <v>0.41666666666666669</v>
      </c>
      <c r="Q79" s="197">
        <v>0.75</v>
      </c>
      <c r="R79" s="197">
        <v>0.70833333333333337</v>
      </c>
      <c r="S79" s="197">
        <v>0.75</v>
      </c>
      <c r="T79" s="197">
        <v>0.41666666666666669</v>
      </c>
      <c r="U79" s="197">
        <v>0.375</v>
      </c>
      <c r="V79" s="197">
        <v>0.70833333333333337</v>
      </c>
      <c r="W79" s="197">
        <v>0.41666666666666669</v>
      </c>
      <c r="X79" s="197">
        <v>10</v>
      </c>
      <c r="Y79" s="197">
        <v>0.41666666666666669</v>
      </c>
      <c r="Z79" s="197">
        <v>0.41666666666666669</v>
      </c>
      <c r="AA79" s="197">
        <v>0.41666666666666669</v>
      </c>
      <c r="AB79" s="197"/>
      <c r="AC79" s="470"/>
      <c r="AD79" s="470"/>
      <c r="AE79" s="470"/>
    </row>
    <row r="80" spans="1:31" ht="14.25" x14ac:dyDescent="0.15">
      <c r="B80" s="490"/>
      <c r="C80" s="476"/>
      <c r="D80" s="226" t="s">
        <v>5</v>
      </c>
      <c r="E80" s="199">
        <v>1</v>
      </c>
      <c r="F80" s="199">
        <v>2</v>
      </c>
      <c r="G80" s="199">
        <v>2</v>
      </c>
      <c r="H80" s="199">
        <v>2</v>
      </c>
      <c r="I80" s="199">
        <v>2</v>
      </c>
      <c r="J80" s="199">
        <v>2</v>
      </c>
      <c r="K80" s="199">
        <v>1</v>
      </c>
      <c r="L80" s="199">
        <v>2</v>
      </c>
      <c r="M80" s="199">
        <v>2</v>
      </c>
      <c r="N80" s="199">
        <v>2</v>
      </c>
      <c r="O80" s="199">
        <v>2</v>
      </c>
      <c r="P80" s="199">
        <v>2</v>
      </c>
      <c r="Q80" s="199">
        <v>2</v>
      </c>
      <c r="R80" s="199">
        <v>1</v>
      </c>
      <c r="S80" s="199">
        <v>1</v>
      </c>
      <c r="T80" s="199">
        <v>2</v>
      </c>
      <c r="U80" s="199">
        <v>1</v>
      </c>
      <c r="V80" s="199">
        <v>2</v>
      </c>
      <c r="W80" s="199">
        <v>2</v>
      </c>
      <c r="X80" s="199">
        <v>2</v>
      </c>
      <c r="Y80" s="199">
        <v>2</v>
      </c>
      <c r="Z80" s="199">
        <v>2</v>
      </c>
      <c r="AA80" s="199">
        <v>2</v>
      </c>
      <c r="AB80" s="199">
        <f>SUM(E80:AA80)</f>
        <v>41</v>
      </c>
      <c r="AC80" s="470"/>
      <c r="AD80" s="470"/>
      <c r="AE80" s="470"/>
    </row>
    <row r="81" spans="2:31" ht="55.5" x14ac:dyDescent="0.15">
      <c r="B81" s="491"/>
      <c r="C81" s="477"/>
      <c r="D81" s="231" t="s">
        <v>15</v>
      </c>
      <c r="E81" s="200" t="s">
        <v>44</v>
      </c>
      <c r="F81" s="204" t="s">
        <v>44</v>
      </c>
      <c r="G81" s="204" t="s">
        <v>44</v>
      </c>
      <c r="H81" s="204" t="s">
        <v>44</v>
      </c>
      <c r="I81" s="204" t="s">
        <v>44</v>
      </c>
      <c r="J81" s="204" t="s">
        <v>44</v>
      </c>
      <c r="K81" s="204" t="s">
        <v>44</v>
      </c>
      <c r="L81" s="204" t="s">
        <v>44</v>
      </c>
      <c r="M81" s="204" t="s">
        <v>44</v>
      </c>
      <c r="N81" s="204" t="s">
        <v>44</v>
      </c>
      <c r="O81" s="204" t="s">
        <v>44</v>
      </c>
      <c r="P81" s="294" t="s">
        <v>206</v>
      </c>
      <c r="Q81" s="294" t="s">
        <v>206</v>
      </c>
      <c r="R81" s="294" t="s">
        <v>206</v>
      </c>
      <c r="S81" s="294" t="s">
        <v>206</v>
      </c>
      <c r="T81" s="204" t="s">
        <v>44</v>
      </c>
      <c r="U81" s="204" t="s">
        <v>44</v>
      </c>
      <c r="V81" s="204" t="s">
        <v>44</v>
      </c>
      <c r="W81" s="204" t="s">
        <v>44</v>
      </c>
      <c r="X81" s="204" t="s">
        <v>44</v>
      </c>
      <c r="Y81" s="204" t="s">
        <v>44</v>
      </c>
      <c r="Z81" s="204" t="s">
        <v>44</v>
      </c>
      <c r="AA81" s="204" t="s">
        <v>44</v>
      </c>
      <c r="AB81" s="204"/>
      <c r="AC81" s="471"/>
      <c r="AD81" s="471"/>
      <c r="AE81" s="471"/>
    </row>
    <row r="82" spans="2:31" ht="14.25" x14ac:dyDescent="0.15">
      <c r="B82" s="494">
        <v>1</v>
      </c>
      <c r="C82" s="475" t="s">
        <v>72</v>
      </c>
      <c r="D82" s="225" t="s">
        <v>26</v>
      </c>
      <c r="E82" s="186">
        <v>1000</v>
      </c>
      <c r="F82" s="186">
        <v>2000</v>
      </c>
      <c r="G82" s="186">
        <v>2000</v>
      </c>
      <c r="H82" s="186">
        <v>2000</v>
      </c>
      <c r="I82" s="186">
        <v>2000</v>
      </c>
      <c r="J82" s="186">
        <v>2000</v>
      </c>
      <c r="K82" s="186">
        <v>1000</v>
      </c>
      <c r="L82" s="186">
        <v>2000</v>
      </c>
      <c r="M82" s="186">
        <v>2000</v>
      </c>
      <c r="N82" s="186">
        <v>2000</v>
      </c>
      <c r="O82" s="186">
        <v>2000</v>
      </c>
      <c r="P82" s="186">
        <v>2000</v>
      </c>
      <c r="Q82" s="186">
        <v>2000</v>
      </c>
      <c r="R82" s="186">
        <v>1000</v>
      </c>
      <c r="S82" s="186">
        <v>1000</v>
      </c>
      <c r="T82" s="186">
        <v>2000</v>
      </c>
      <c r="U82" s="186">
        <v>1000</v>
      </c>
      <c r="V82" s="186">
        <v>2000</v>
      </c>
      <c r="W82" s="186">
        <v>2000</v>
      </c>
      <c r="X82" s="186">
        <v>2000</v>
      </c>
      <c r="Y82" s="186">
        <v>2000</v>
      </c>
      <c r="Z82" s="186">
        <v>2000</v>
      </c>
      <c r="AA82" s="165">
        <v>2000</v>
      </c>
      <c r="AB82" s="52"/>
      <c r="AC82" s="98">
        <f>SUM(E82:AB82)</f>
        <v>41000</v>
      </c>
      <c r="AD82" s="485">
        <f>AC82+AC83+AC84+AC85+AC86</f>
        <v>55350</v>
      </c>
      <c r="AE82" s="488"/>
    </row>
    <row r="83" spans="2:31" ht="14.25" x14ac:dyDescent="0.15">
      <c r="B83" s="494"/>
      <c r="C83" s="476"/>
      <c r="D83" s="228" t="s">
        <v>29</v>
      </c>
      <c r="E83" s="187">
        <v>350</v>
      </c>
      <c r="F83" s="187">
        <v>700</v>
      </c>
      <c r="G83" s="187">
        <v>700</v>
      </c>
      <c r="H83" s="187">
        <v>700</v>
      </c>
      <c r="I83" s="187">
        <v>700</v>
      </c>
      <c r="J83" s="187">
        <v>700</v>
      </c>
      <c r="K83" s="187">
        <v>350</v>
      </c>
      <c r="L83" s="187">
        <v>700</v>
      </c>
      <c r="M83" s="187">
        <v>700</v>
      </c>
      <c r="N83" s="187">
        <v>700</v>
      </c>
      <c r="O83" s="187">
        <v>700</v>
      </c>
      <c r="P83" s="187"/>
      <c r="Q83" s="187"/>
      <c r="R83" s="187"/>
      <c r="S83" s="187"/>
      <c r="T83" s="187">
        <v>700</v>
      </c>
      <c r="U83" s="187">
        <v>350</v>
      </c>
      <c r="V83" s="187">
        <v>700</v>
      </c>
      <c r="W83" s="187">
        <v>700</v>
      </c>
      <c r="X83" s="187">
        <v>700</v>
      </c>
      <c r="Y83" s="187">
        <v>700</v>
      </c>
      <c r="Z83" s="187">
        <v>700</v>
      </c>
      <c r="AA83" s="166">
        <v>700</v>
      </c>
      <c r="AB83" s="53"/>
      <c r="AC83" s="99">
        <f>SUM(E83:AB83)</f>
        <v>12250</v>
      </c>
      <c r="AD83" s="486"/>
      <c r="AE83" s="488"/>
    </row>
    <row r="84" spans="2:31" ht="14.25" x14ac:dyDescent="0.15">
      <c r="B84" s="494"/>
      <c r="C84" s="476"/>
      <c r="D84" s="229" t="s">
        <v>35</v>
      </c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54"/>
      <c r="X84" s="54"/>
      <c r="Y84" s="54"/>
      <c r="Z84" s="54"/>
      <c r="AA84" s="54"/>
      <c r="AB84" s="54"/>
      <c r="AC84" s="99">
        <f>SUM(E84:AB84)</f>
        <v>0</v>
      </c>
      <c r="AD84" s="486"/>
      <c r="AE84" s="488"/>
    </row>
    <row r="85" spans="2:31" ht="14.25" x14ac:dyDescent="0.15">
      <c r="B85" s="494"/>
      <c r="C85" s="476"/>
      <c r="D85" s="229" t="s">
        <v>203</v>
      </c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>
        <v>700</v>
      </c>
      <c r="Q85" s="189">
        <v>700</v>
      </c>
      <c r="R85" s="189">
        <v>350</v>
      </c>
      <c r="S85" s="189">
        <v>350</v>
      </c>
      <c r="T85" s="189"/>
      <c r="U85" s="189"/>
      <c r="V85" s="189"/>
      <c r="W85" s="54"/>
      <c r="X85" s="54"/>
      <c r="Y85" s="54"/>
      <c r="Z85" s="54"/>
      <c r="AA85" s="54"/>
      <c r="AB85" s="54"/>
      <c r="AC85" s="99">
        <f>SUM(E85:AB85)</f>
        <v>2100</v>
      </c>
      <c r="AD85" s="486"/>
      <c r="AE85" s="488"/>
    </row>
    <row r="86" spans="2:31" ht="14.25" x14ac:dyDescent="0.15">
      <c r="B86" s="494"/>
      <c r="C86" s="484"/>
      <c r="D86" s="230" t="s">
        <v>27</v>
      </c>
      <c r="E86" s="192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55"/>
      <c r="X86" s="55"/>
      <c r="Y86" s="55"/>
      <c r="Z86" s="55"/>
      <c r="AA86" s="55"/>
      <c r="AB86" s="55"/>
      <c r="AC86" s="101">
        <f>SUM(E86:AB86)</f>
        <v>0</v>
      </c>
      <c r="AD86" s="487"/>
      <c r="AE86" s="488"/>
    </row>
    <row r="87" spans="2:31" ht="4.1500000000000004" customHeight="1" x14ac:dyDescent="0.15">
      <c r="B87" s="6"/>
      <c r="C87" s="281"/>
      <c r="D87" s="48"/>
      <c r="E87" s="49"/>
      <c r="F87" s="56"/>
      <c r="G87" s="57"/>
      <c r="H87" s="57"/>
      <c r="I87" s="56"/>
      <c r="J87" s="57"/>
      <c r="K87" s="57"/>
      <c r="L87" s="57"/>
      <c r="M87" s="56"/>
      <c r="N87" s="57"/>
      <c r="O87" s="57"/>
      <c r="P87" s="56"/>
      <c r="Q87" s="57"/>
      <c r="R87" s="56"/>
      <c r="S87" s="57"/>
      <c r="T87" s="57"/>
      <c r="U87" s="57"/>
      <c r="V87" s="56"/>
      <c r="W87" s="57"/>
      <c r="X87" s="57"/>
      <c r="Y87" s="57"/>
      <c r="Z87" s="56"/>
      <c r="AA87" s="57"/>
      <c r="AB87" s="57"/>
      <c r="AC87" s="49"/>
      <c r="AD87" s="7"/>
    </row>
    <row r="88" spans="2:31" ht="14.25" x14ac:dyDescent="0.15">
      <c r="B88" s="489"/>
      <c r="C88" s="475" t="s">
        <v>23</v>
      </c>
      <c r="D88" s="3" t="s">
        <v>32</v>
      </c>
      <c r="E88" s="162">
        <v>1</v>
      </c>
      <c r="F88" s="162">
        <v>2</v>
      </c>
      <c r="G88" s="162">
        <v>3</v>
      </c>
      <c r="H88" s="162">
        <v>4</v>
      </c>
      <c r="I88" s="162">
        <v>5</v>
      </c>
      <c r="J88" s="162">
        <v>6</v>
      </c>
      <c r="K88" s="162">
        <v>7</v>
      </c>
      <c r="L88" s="162">
        <v>8</v>
      </c>
      <c r="M88" s="162">
        <v>9</v>
      </c>
      <c r="N88" s="162">
        <v>10</v>
      </c>
      <c r="O88" s="162">
        <v>11</v>
      </c>
      <c r="P88" s="162">
        <v>12</v>
      </c>
      <c r="Q88" s="162">
        <v>13</v>
      </c>
      <c r="R88" s="162">
        <v>14</v>
      </c>
      <c r="S88" s="162">
        <v>15</v>
      </c>
      <c r="T88" s="162">
        <v>16</v>
      </c>
      <c r="U88" s="162">
        <v>17</v>
      </c>
      <c r="V88" s="162">
        <v>18</v>
      </c>
      <c r="W88" s="162">
        <v>19</v>
      </c>
      <c r="X88" s="162">
        <v>20</v>
      </c>
      <c r="Y88" s="162">
        <v>21</v>
      </c>
      <c r="Z88" s="162">
        <v>22</v>
      </c>
      <c r="AA88" s="162">
        <v>23</v>
      </c>
      <c r="AB88" s="162" t="s">
        <v>55</v>
      </c>
      <c r="AC88" s="469" t="s">
        <v>22</v>
      </c>
      <c r="AD88" s="469" t="s">
        <v>21</v>
      </c>
      <c r="AE88" s="469" t="s">
        <v>20</v>
      </c>
    </row>
    <row r="89" spans="2:31" ht="14.25" x14ac:dyDescent="0.15">
      <c r="B89" s="490"/>
      <c r="C89" s="476"/>
      <c r="D89" s="225" t="s">
        <v>25</v>
      </c>
      <c r="E89" s="193">
        <v>45754</v>
      </c>
      <c r="F89" s="193">
        <v>45755</v>
      </c>
      <c r="G89" s="193">
        <v>45757</v>
      </c>
      <c r="H89" s="193">
        <v>45759</v>
      </c>
      <c r="I89" s="193">
        <v>45760</v>
      </c>
      <c r="J89" s="193">
        <v>45786</v>
      </c>
      <c r="K89" s="193">
        <v>45792</v>
      </c>
      <c r="L89" s="193">
        <v>45797</v>
      </c>
      <c r="M89" s="193">
        <v>45801</v>
      </c>
      <c r="N89" s="193">
        <v>45809</v>
      </c>
      <c r="O89" s="193">
        <v>45820</v>
      </c>
      <c r="P89" s="193">
        <v>45823</v>
      </c>
      <c r="Q89" s="193">
        <v>45839</v>
      </c>
      <c r="R89" s="193">
        <v>45853</v>
      </c>
      <c r="S89" s="193">
        <v>45859</v>
      </c>
      <c r="T89" s="193">
        <v>45870</v>
      </c>
      <c r="U89" s="193">
        <v>45879</v>
      </c>
      <c r="V89" s="193">
        <v>45881</v>
      </c>
      <c r="W89" s="193">
        <v>45887</v>
      </c>
      <c r="X89" s="193">
        <v>45890</v>
      </c>
      <c r="Y89" s="193"/>
      <c r="Z89" s="193"/>
      <c r="AA89" s="193"/>
      <c r="AB89" s="193"/>
      <c r="AC89" s="470"/>
      <c r="AD89" s="470"/>
      <c r="AE89" s="470"/>
    </row>
    <row r="90" spans="2:31" ht="14.25" x14ac:dyDescent="0.15">
      <c r="B90" s="490"/>
      <c r="C90" s="476"/>
      <c r="D90" s="472" t="s">
        <v>24</v>
      </c>
      <c r="E90" s="194">
        <v>0.33333333333333331</v>
      </c>
      <c r="F90" s="194">
        <v>0.33333333333333331</v>
      </c>
      <c r="G90" s="194">
        <v>0.29166666666666669</v>
      </c>
      <c r="H90" s="194">
        <v>0.33333333333333331</v>
      </c>
      <c r="I90" s="194">
        <v>0.29166666666666669</v>
      </c>
      <c r="J90" s="194">
        <v>0.33333333333333331</v>
      </c>
      <c r="K90" s="194">
        <v>0.33333333333333331</v>
      </c>
      <c r="L90" s="194">
        <v>0.33333333333333331</v>
      </c>
      <c r="M90" s="194">
        <v>0.29166666666666669</v>
      </c>
      <c r="N90" s="194">
        <v>0.33333333333333331</v>
      </c>
      <c r="O90" s="194">
        <v>0.29166666666666669</v>
      </c>
      <c r="P90" s="194">
        <v>0.33333333333333331</v>
      </c>
      <c r="Q90" s="194">
        <v>0.29166666666666669</v>
      </c>
      <c r="R90" s="194">
        <v>0.66666666666666663</v>
      </c>
      <c r="S90" s="194">
        <v>0.66666666666666663</v>
      </c>
      <c r="T90" s="194">
        <v>0.33333333333333331</v>
      </c>
      <c r="U90" s="194">
        <v>0.29166666666666669</v>
      </c>
      <c r="V90" s="194">
        <v>0.33333333333333331</v>
      </c>
      <c r="W90" s="194">
        <v>0.29166666666666669</v>
      </c>
      <c r="X90" s="194">
        <v>0.29166666666666669</v>
      </c>
      <c r="Y90" s="194"/>
      <c r="Z90" s="194"/>
      <c r="AA90" s="194"/>
      <c r="AB90" s="194"/>
      <c r="AC90" s="470"/>
      <c r="AD90" s="470"/>
      <c r="AE90" s="470"/>
    </row>
    <row r="91" spans="2:31" ht="15.75" x14ac:dyDescent="0.15">
      <c r="B91" s="490"/>
      <c r="C91" s="476"/>
      <c r="D91" s="473"/>
      <c r="E91" s="195" t="s">
        <v>4</v>
      </c>
      <c r="F91" s="195" t="s">
        <v>4</v>
      </c>
      <c r="G91" s="195" t="s">
        <v>4</v>
      </c>
      <c r="H91" s="195" t="s">
        <v>46</v>
      </c>
      <c r="I91" s="196" t="s">
        <v>4</v>
      </c>
      <c r="J91" s="196" t="s">
        <v>4</v>
      </c>
      <c r="K91" s="195" t="s">
        <v>4</v>
      </c>
      <c r="L91" s="196" t="s">
        <v>4</v>
      </c>
      <c r="M91" s="195" t="s">
        <v>4</v>
      </c>
      <c r="N91" s="195" t="s">
        <v>4</v>
      </c>
      <c r="O91" s="196" t="s">
        <v>4</v>
      </c>
      <c r="P91" s="195" t="s">
        <v>46</v>
      </c>
      <c r="Q91" s="195" t="s">
        <v>4</v>
      </c>
      <c r="R91" s="196" t="s">
        <v>4</v>
      </c>
      <c r="S91" s="195" t="s">
        <v>4</v>
      </c>
      <c r="T91" s="195" t="s">
        <v>46</v>
      </c>
      <c r="U91" s="195" t="s">
        <v>4</v>
      </c>
      <c r="V91" s="195" t="s">
        <v>4</v>
      </c>
      <c r="W91" s="195" t="s">
        <v>4</v>
      </c>
      <c r="X91" s="195" t="s">
        <v>4</v>
      </c>
      <c r="Y91" s="196"/>
      <c r="Z91" s="196"/>
      <c r="AA91" s="195"/>
      <c r="AB91" s="195"/>
      <c r="AC91" s="470"/>
      <c r="AD91" s="470"/>
      <c r="AE91" s="470"/>
    </row>
    <row r="92" spans="2:31" ht="14.25" x14ac:dyDescent="0.15">
      <c r="B92" s="490"/>
      <c r="C92" s="476"/>
      <c r="D92" s="474"/>
      <c r="E92" s="197">
        <v>0.41666666666666669</v>
      </c>
      <c r="F92" s="197">
        <v>0.41666666666666669</v>
      </c>
      <c r="G92" s="197">
        <v>0.375</v>
      </c>
      <c r="H92" s="197">
        <v>0.41666666666666669</v>
      </c>
      <c r="I92" s="197">
        <v>0.375</v>
      </c>
      <c r="J92" s="197">
        <v>0.41666666666666669</v>
      </c>
      <c r="K92" s="197">
        <v>0.41666666666666669</v>
      </c>
      <c r="L92" s="197">
        <v>0.375</v>
      </c>
      <c r="M92" s="197">
        <v>0.375</v>
      </c>
      <c r="N92" s="197">
        <v>0.41666666666666669</v>
      </c>
      <c r="O92" s="197">
        <v>0.375</v>
      </c>
      <c r="P92" s="197">
        <v>0.41666666666666669</v>
      </c>
      <c r="Q92" s="197">
        <v>0.375</v>
      </c>
      <c r="R92" s="197">
        <v>0.75</v>
      </c>
      <c r="S92" s="197">
        <v>0.75</v>
      </c>
      <c r="T92" s="197">
        <v>0.41666666666666669</v>
      </c>
      <c r="U92" s="197">
        <v>0.375</v>
      </c>
      <c r="V92" s="197">
        <v>0.41666666666666669</v>
      </c>
      <c r="W92" s="197">
        <v>0.375</v>
      </c>
      <c r="X92" s="197">
        <v>0.375</v>
      </c>
      <c r="Y92" s="197"/>
      <c r="Z92" s="197"/>
      <c r="AA92" s="197"/>
      <c r="AB92" s="197"/>
      <c r="AC92" s="470"/>
      <c r="AD92" s="470"/>
      <c r="AE92" s="470"/>
    </row>
    <row r="93" spans="2:31" ht="14.25" x14ac:dyDescent="0.15">
      <c r="B93" s="490"/>
      <c r="C93" s="476"/>
      <c r="D93" s="226" t="s">
        <v>5</v>
      </c>
      <c r="E93" s="199">
        <v>2</v>
      </c>
      <c r="F93" s="199">
        <v>2</v>
      </c>
      <c r="G93" s="199">
        <v>2</v>
      </c>
      <c r="H93" s="199">
        <v>2</v>
      </c>
      <c r="I93" s="199">
        <v>2</v>
      </c>
      <c r="J93" s="199">
        <v>2</v>
      </c>
      <c r="K93" s="199">
        <v>2</v>
      </c>
      <c r="L93" s="199">
        <v>1</v>
      </c>
      <c r="M93" s="199">
        <v>2</v>
      </c>
      <c r="N93" s="199">
        <v>2</v>
      </c>
      <c r="O93" s="199">
        <v>2</v>
      </c>
      <c r="P93" s="199">
        <v>2</v>
      </c>
      <c r="Q93" s="199">
        <v>2</v>
      </c>
      <c r="R93" s="199">
        <v>2</v>
      </c>
      <c r="S93" s="199">
        <v>2</v>
      </c>
      <c r="T93" s="199">
        <v>2</v>
      </c>
      <c r="U93" s="199">
        <v>2</v>
      </c>
      <c r="V93" s="199">
        <v>2</v>
      </c>
      <c r="W93" s="199">
        <v>2</v>
      </c>
      <c r="X93" s="199">
        <v>2</v>
      </c>
      <c r="Y93" s="199"/>
      <c r="Z93" s="199"/>
      <c r="AA93" s="199"/>
      <c r="AB93" s="199">
        <f>SUM(E93:AA93)</f>
        <v>39</v>
      </c>
      <c r="AC93" s="470"/>
      <c r="AD93" s="470"/>
      <c r="AE93" s="470"/>
    </row>
    <row r="94" spans="2:31" ht="55.5" x14ac:dyDescent="0.15">
      <c r="B94" s="491"/>
      <c r="C94" s="477"/>
      <c r="D94" s="231" t="s">
        <v>15</v>
      </c>
      <c r="E94" s="200" t="s">
        <v>44</v>
      </c>
      <c r="F94" s="204" t="s">
        <v>44</v>
      </c>
      <c r="G94" s="204" t="s">
        <v>44</v>
      </c>
      <c r="H94" s="204" t="s">
        <v>44</v>
      </c>
      <c r="I94" s="204" t="s">
        <v>44</v>
      </c>
      <c r="J94" s="204" t="s">
        <v>44</v>
      </c>
      <c r="K94" s="204" t="s">
        <v>44</v>
      </c>
      <c r="L94" s="204" t="s">
        <v>44</v>
      </c>
      <c r="M94" s="204" t="s">
        <v>44</v>
      </c>
      <c r="N94" s="204" t="s">
        <v>44</v>
      </c>
      <c r="O94" s="204" t="s">
        <v>44</v>
      </c>
      <c r="P94" s="204" t="s">
        <v>44</v>
      </c>
      <c r="Q94" s="204" t="s">
        <v>44</v>
      </c>
      <c r="R94" s="294" t="s">
        <v>206</v>
      </c>
      <c r="S94" s="294" t="s">
        <v>206</v>
      </c>
      <c r="T94" s="204" t="s">
        <v>44</v>
      </c>
      <c r="U94" s="204" t="s">
        <v>44</v>
      </c>
      <c r="V94" s="204" t="s">
        <v>44</v>
      </c>
      <c r="W94" s="204" t="s">
        <v>44</v>
      </c>
      <c r="X94" s="204" t="s">
        <v>44</v>
      </c>
      <c r="Y94" s="204"/>
      <c r="Z94" s="204"/>
      <c r="AA94" s="204"/>
      <c r="AB94" s="204"/>
      <c r="AC94" s="471"/>
      <c r="AD94" s="471"/>
      <c r="AE94" s="471"/>
    </row>
    <row r="95" spans="2:31" ht="14.25" x14ac:dyDescent="0.15">
      <c r="B95" s="494">
        <v>2</v>
      </c>
      <c r="C95" s="475" t="s">
        <v>99</v>
      </c>
      <c r="D95" s="225" t="s">
        <v>26</v>
      </c>
      <c r="E95" s="186">
        <v>2000</v>
      </c>
      <c r="F95" s="186">
        <v>2000</v>
      </c>
      <c r="G95" s="186">
        <v>2000</v>
      </c>
      <c r="H95" s="186">
        <v>2000</v>
      </c>
      <c r="I95" s="186">
        <v>2000</v>
      </c>
      <c r="J95" s="186">
        <v>2000</v>
      </c>
      <c r="K95" s="186">
        <v>2000</v>
      </c>
      <c r="L95" s="186">
        <v>1000</v>
      </c>
      <c r="M95" s="186">
        <v>2000</v>
      </c>
      <c r="N95" s="186">
        <v>2000</v>
      </c>
      <c r="O95" s="186">
        <v>2000</v>
      </c>
      <c r="P95" s="186">
        <v>2000</v>
      </c>
      <c r="Q95" s="186">
        <v>2000</v>
      </c>
      <c r="R95" s="186">
        <v>2000</v>
      </c>
      <c r="S95" s="186">
        <v>2000</v>
      </c>
      <c r="T95" s="186">
        <v>2000</v>
      </c>
      <c r="U95" s="186">
        <v>2000</v>
      </c>
      <c r="V95" s="186">
        <v>2000</v>
      </c>
      <c r="W95" s="186">
        <v>2000</v>
      </c>
      <c r="X95" s="186">
        <v>2000</v>
      </c>
      <c r="Y95" s="186"/>
      <c r="Z95" s="186"/>
      <c r="AA95" s="186"/>
      <c r="AB95" s="52"/>
      <c r="AC95" s="98">
        <f>SUM(E95:AB95)</f>
        <v>39000</v>
      </c>
      <c r="AD95" s="485">
        <f>AC95+AC96+AC97+AC98+AC99</f>
        <v>59400</v>
      </c>
      <c r="AE95" s="488"/>
    </row>
    <row r="96" spans="2:31" ht="14.25" x14ac:dyDescent="0.15">
      <c r="B96" s="494"/>
      <c r="C96" s="476"/>
      <c r="D96" s="228" t="s">
        <v>29</v>
      </c>
      <c r="E96" s="187">
        <v>700</v>
      </c>
      <c r="F96" s="187">
        <v>350</v>
      </c>
      <c r="G96" s="187">
        <v>700</v>
      </c>
      <c r="H96" s="187"/>
      <c r="I96" s="187"/>
      <c r="J96" s="187">
        <v>700</v>
      </c>
      <c r="K96" s="187">
        <v>700</v>
      </c>
      <c r="L96" s="187">
        <v>350</v>
      </c>
      <c r="M96" s="187">
        <v>700</v>
      </c>
      <c r="N96" s="187"/>
      <c r="O96" s="187"/>
      <c r="P96" s="187">
        <v>700</v>
      </c>
      <c r="Q96" s="187">
        <v>700</v>
      </c>
      <c r="R96" s="187"/>
      <c r="S96" s="187"/>
      <c r="T96" s="187"/>
      <c r="U96" s="187">
        <v>700</v>
      </c>
      <c r="V96" s="187">
        <v>700</v>
      </c>
      <c r="W96" s="187"/>
      <c r="X96" s="187"/>
      <c r="Y96" s="187"/>
      <c r="Z96" s="187"/>
      <c r="AA96" s="187"/>
      <c r="AB96" s="53"/>
      <c r="AC96" s="99">
        <f>SUM(E96:AB96)</f>
        <v>7000</v>
      </c>
      <c r="AD96" s="486"/>
      <c r="AE96" s="488"/>
    </row>
    <row r="97" spans="2:31" ht="14.25" x14ac:dyDescent="0.15">
      <c r="B97" s="494"/>
      <c r="C97" s="476"/>
      <c r="D97" s="229" t="s">
        <v>35</v>
      </c>
      <c r="E97" s="189"/>
      <c r="F97" s="189">
        <v>800</v>
      </c>
      <c r="G97" s="189"/>
      <c r="H97" s="189">
        <v>1600</v>
      </c>
      <c r="I97" s="189">
        <v>1600</v>
      </c>
      <c r="J97" s="189"/>
      <c r="K97" s="189"/>
      <c r="L97" s="189"/>
      <c r="M97" s="189"/>
      <c r="N97" s="189">
        <v>1600</v>
      </c>
      <c r="O97" s="189">
        <v>1600</v>
      </c>
      <c r="P97" s="189"/>
      <c r="Q97" s="189"/>
      <c r="R97" s="189"/>
      <c r="S97" s="189"/>
      <c r="T97" s="189">
        <v>1600</v>
      </c>
      <c r="U97" s="189"/>
      <c r="V97" s="189"/>
      <c r="W97" s="189">
        <v>1600</v>
      </c>
      <c r="X97" s="189">
        <v>1600</v>
      </c>
      <c r="Y97" s="189"/>
      <c r="Z97" s="189"/>
      <c r="AA97" s="189"/>
      <c r="AB97" s="54"/>
      <c r="AC97" s="99">
        <f>SUM(E97:AB97)</f>
        <v>12000</v>
      </c>
      <c r="AD97" s="486"/>
      <c r="AE97" s="488"/>
    </row>
    <row r="98" spans="2:31" ht="14.25" x14ac:dyDescent="0.15">
      <c r="B98" s="494"/>
      <c r="C98" s="476"/>
      <c r="D98" s="229" t="s">
        <v>203</v>
      </c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>
        <v>700</v>
      </c>
      <c r="S98" s="189">
        <v>700</v>
      </c>
      <c r="T98" s="189"/>
      <c r="U98" s="189"/>
      <c r="V98" s="189"/>
      <c r="W98" s="189"/>
      <c r="X98" s="189"/>
      <c r="Y98" s="189"/>
      <c r="Z98" s="189"/>
      <c r="AA98" s="189"/>
      <c r="AB98" s="54"/>
      <c r="AC98" s="99">
        <f>SUM(E98:AB98)</f>
        <v>1400</v>
      </c>
      <c r="AD98" s="486"/>
      <c r="AE98" s="488"/>
    </row>
    <row r="99" spans="2:31" ht="14.25" x14ac:dyDescent="0.15">
      <c r="B99" s="494"/>
      <c r="C99" s="484"/>
      <c r="D99" s="230" t="s">
        <v>27</v>
      </c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55"/>
      <c r="AC99" s="101">
        <f>SUM(E99:AB99)</f>
        <v>0</v>
      </c>
      <c r="AD99" s="487"/>
      <c r="AE99" s="488"/>
    </row>
    <row r="100" spans="2:31" ht="3" customHeight="1" x14ac:dyDescent="0.15">
      <c r="B100" s="2"/>
      <c r="D100" s="12"/>
      <c r="E100" s="50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6"/>
      <c r="Y100" s="57"/>
      <c r="Z100" s="57"/>
      <c r="AA100" s="56"/>
      <c r="AB100" s="57"/>
      <c r="AC100" s="49"/>
      <c r="AD100" s="7"/>
    </row>
    <row r="101" spans="2:31" ht="14.25" customHeight="1" x14ac:dyDescent="0.15">
      <c r="B101" s="489"/>
      <c r="C101" s="475" t="s">
        <v>23</v>
      </c>
      <c r="D101" s="3" t="s">
        <v>32</v>
      </c>
      <c r="E101" s="162">
        <v>1</v>
      </c>
      <c r="F101" s="162">
        <v>2</v>
      </c>
      <c r="G101" s="162">
        <v>3</v>
      </c>
      <c r="H101" s="162">
        <v>4</v>
      </c>
      <c r="I101" s="162">
        <v>5</v>
      </c>
      <c r="J101" s="162">
        <v>6</v>
      </c>
      <c r="K101" s="162">
        <v>7</v>
      </c>
      <c r="L101" s="162">
        <v>8</v>
      </c>
      <c r="M101" s="162">
        <v>9</v>
      </c>
      <c r="N101" s="162">
        <v>10</v>
      </c>
      <c r="O101" s="162">
        <v>11</v>
      </c>
      <c r="P101" s="162">
        <v>12</v>
      </c>
      <c r="Q101" s="162">
        <v>13</v>
      </c>
      <c r="R101" s="162">
        <v>14</v>
      </c>
      <c r="S101" s="162">
        <v>15</v>
      </c>
      <c r="T101" s="162">
        <v>16</v>
      </c>
      <c r="U101" s="162">
        <v>17</v>
      </c>
      <c r="V101" s="162">
        <v>18</v>
      </c>
      <c r="W101" s="162">
        <v>19</v>
      </c>
      <c r="X101" s="162">
        <v>20</v>
      </c>
      <c r="Y101" s="162">
        <v>21</v>
      </c>
      <c r="Z101" s="162">
        <v>22</v>
      </c>
      <c r="AA101" s="162">
        <v>23</v>
      </c>
      <c r="AB101" s="162" t="s">
        <v>28</v>
      </c>
      <c r="AC101" s="469" t="s">
        <v>22</v>
      </c>
      <c r="AD101" s="469" t="s">
        <v>21</v>
      </c>
      <c r="AE101" s="469" t="s">
        <v>20</v>
      </c>
    </row>
    <row r="102" spans="2:31" ht="14.25" x14ac:dyDescent="0.15">
      <c r="B102" s="490"/>
      <c r="C102" s="476"/>
      <c r="D102" s="225" t="s">
        <v>25</v>
      </c>
      <c r="E102" s="193">
        <v>45755</v>
      </c>
      <c r="F102" s="193">
        <v>45756</v>
      </c>
      <c r="G102" s="193">
        <v>45757</v>
      </c>
      <c r="H102" s="193">
        <v>45758</v>
      </c>
      <c r="I102" s="193">
        <v>45760</v>
      </c>
      <c r="J102" s="193">
        <v>45784</v>
      </c>
      <c r="K102" s="193">
        <v>45786</v>
      </c>
      <c r="L102" s="193">
        <v>45797</v>
      </c>
      <c r="M102" s="193">
        <v>45802</v>
      </c>
      <c r="N102" s="193">
        <v>45811</v>
      </c>
      <c r="O102" s="193">
        <v>45818</v>
      </c>
      <c r="P102" s="193">
        <v>45823</v>
      </c>
      <c r="Q102" s="193">
        <v>45850</v>
      </c>
      <c r="R102" s="193">
        <v>45853</v>
      </c>
      <c r="S102" s="193">
        <v>45853</v>
      </c>
      <c r="T102" s="193">
        <v>45881</v>
      </c>
      <c r="U102" s="193">
        <v>45883</v>
      </c>
      <c r="V102" s="193">
        <v>45889</v>
      </c>
      <c r="W102" s="193">
        <v>45888</v>
      </c>
      <c r="X102" s="193">
        <v>45890</v>
      </c>
      <c r="Y102" s="193">
        <v>45898</v>
      </c>
      <c r="Z102" s="193">
        <v>45900</v>
      </c>
      <c r="AA102" s="21"/>
      <c r="AB102" s="193"/>
      <c r="AC102" s="470"/>
      <c r="AD102" s="470"/>
      <c r="AE102" s="470"/>
    </row>
    <row r="103" spans="2:31" ht="14.25" x14ac:dyDescent="0.15">
      <c r="B103" s="490"/>
      <c r="C103" s="476"/>
      <c r="D103" s="472" t="s">
        <v>24</v>
      </c>
      <c r="E103" s="194">
        <v>0.33333333333333331</v>
      </c>
      <c r="F103" s="194">
        <v>0.33333333333333331</v>
      </c>
      <c r="G103" s="194">
        <v>0.29166666666666669</v>
      </c>
      <c r="H103" s="194">
        <v>0.33333333333333331</v>
      </c>
      <c r="I103" s="194">
        <v>0.29166666666666669</v>
      </c>
      <c r="J103" s="194">
        <v>0.33333333333333331</v>
      </c>
      <c r="K103" s="194">
        <v>0.33333333333333331</v>
      </c>
      <c r="L103" s="194">
        <v>0.33333333333333331</v>
      </c>
      <c r="M103" s="194">
        <v>0.29166666666666669</v>
      </c>
      <c r="N103" s="194">
        <v>0.33333333333333331</v>
      </c>
      <c r="O103" s="194">
        <v>0.29166666666666669</v>
      </c>
      <c r="P103" s="194">
        <v>0.33333333333333331</v>
      </c>
      <c r="Q103" s="194">
        <v>0.33333333333333331</v>
      </c>
      <c r="R103" s="194">
        <v>0.29166666666666669</v>
      </c>
      <c r="S103" s="194">
        <v>0.29166666666666669</v>
      </c>
      <c r="T103" s="194">
        <v>0.33333333333333331</v>
      </c>
      <c r="U103" s="194">
        <v>0.29166666666666669</v>
      </c>
      <c r="V103" s="194">
        <v>0.33333333333333331</v>
      </c>
      <c r="W103" s="194">
        <v>0.29166666666666669</v>
      </c>
      <c r="X103" s="194">
        <v>0.29166666666666669</v>
      </c>
      <c r="Y103" s="194">
        <v>0.33333333333333331</v>
      </c>
      <c r="Z103" s="194">
        <v>0.29166666666666669</v>
      </c>
      <c r="AA103" s="24"/>
      <c r="AB103" s="194"/>
      <c r="AC103" s="470"/>
      <c r="AD103" s="470"/>
      <c r="AE103" s="470"/>
    </row>
    <row r="104" spans="2:31" ht="15.75" x14ac:dyDescent="0.15">
      <c r="B104" s="490"/>
      <c r="C104" s="476"/>
      <c r="D104" s="473"/>
      <c r="E104" s="195" t="s">
        <v>4</v>
      </c>
      <c r="F104" s="195" t="s">
        <v>4</v>
      </c>
      <c r="G104" s="195" t="s">
        <v>4</v>
      </c>
      <c r="H104" s="195" t="s">
        <v>4</v>
      </c>
      <c r="I104" s="196" t="s">
        <v>4</v>
      </c>
      <c r="J104" s="196" t="s">
        <v>4</v>
      </c>
      <c r="K104" s="195" t="s">
        <v>4</v>
      </c>
      <c r="L104" s="196" t="s">
        <v>4</v>
      </c>
      <c r="M104" s="195" t="s">
        <v>4</v>
      </c>
      <c r="N104" s="195" t="s">
        <v>4</v>
      </c>
      <c r="O104" s="196" t="s">
        <v>4</v>
      </c>
      <c r="P104" s="195" t="s">
        <v>4</v>
      </c>
      <c r="Q104" s="195" t="s">
        <v>4</v>
      </c>
      <c r="R104" s="196" t="s">
        <v>4</v>
      </c>
      <c r="S104" s="195" t="s">
        <v>4</v>
      </c>
      <c r="T104" s="195" t="s">
        <v>4</v>
      </c>
      <c r="U104" s="195" t="s">
        <v>4</v>
      </c>
      <c r="V104" s="195" t="s">
        <v>4</v>
      </c>
      <c r="W104" s="195" t="s">
        <v>4</v>
      </c>
      <c r="X104" s="195" t="s">
        <v>4</v>
      </c>
      <c r="Y104" s="195" t="s">
        <v>4</v>
      </c>
      <c r="Z104" s="195" t="s">
        <v>4</v>
      </c>
      <c r="AA104" s="45"/>
      <c r="AB104" s="195"/>
      <c r="AC104" s="470"/>
      <c r="AD104" s="470"/>
      <c r="AE104" s="470"/>
    </row>
    <row r="105" spans="2:31" ht="14.25" x14ac:dyDescent="0.15">
      <c r="B105" s="490"/>
      <c r="C105" s="476"/>
      <c r="D105" s="474"/>
      <c r="E105" s="197">
        <v>0.41666666666666669</v>
      </c>
      <c r="F105" s="197">
        <v>0.41666666666666669</v>
      </c>
      <c r="G105" s="197">
        <v>0.375</v>
      </c>
      <c r="H105" s="197">
        <v>0.41666666666666669</v>
      </c>
      <c r="I105" s="197">
        <v>0.375</v>
      </c>
      <c r="J105" s="197">
        <v>0.41666666666666669</v>
      </c>
      <c r="K105" s="197">
        <v>0.41666666666666669</v>
      </c>
      <c r="L105" s="197">
        <v>0.41666666666666669</v>
      </c>
      <c r="M105" s="197">
        <v>0.375</v>
      </c>
      <c r="N105" s="197">
        <v>0.41666666666666669</v>
      </c>
      <c r="O105" s="197">
        <v>0.41666666666666669</v>
      </c>
      <c r="P105" s="197">
        <v>0.41666666666666669</v>
      </c>
      <c r="Q105" s="197">
        <v>10</v>
      </c>
      <c r="R105" s="197">
        <v>0.375</v>
      </c>
      <c r="S105" s="197">
        <v>0.41666666666666669</v>
      </c>
      <c r="T105" s="197">
        <v>0.41666666666666669</v>
      </c>
      <c r="U105" s="197">
        <v>0.375</v>
      </c>
      <c r="V105" s="197">
        <v>0.45833333333333331</v>
      </c>
      <c r="W105" s="197">
        <v>0.375</v>
      </c>
      <c r="X105" s="197">
        <v>0.375</v>
      </c>
      <c r="Y105" s="197">
        <v>0.41666666666666669</v>
      </c>
      <c r="Z105" s="197">
        <v>0.375</v>
      </c>
      <c r="AA105" s="25"/>
      <c r="AB105" s="197"/>
      <c r="AC105" s="470"/>
      <c r="AD105" s="470"/>
      <c r="AE105" s="470"/>
    </row>
    <row r="106" spans="2:31" ht="14.25" x14ac:dyDescent="0.15">
      <c r="B106" s="490"/>
      <c r="C106" s="476"/>
      <c r="D106" s="226" t="s">
        <v>5</v>
      </c>
      <c r="E106" s="199">
        <v>2</v>
      </c>
      <c r="F106" s="199">
        <v>2</v>
      </c>
      <c r="G106" s="199">
        <v>2</v>
      </c>
      <c r="H106" s="199">
        <v>2</v>
      </c>
      <c r="I106" s="199">
        <v>1</v>
      </c>
      <c r="J106" s="199">
        <v>2</v>
      </c>
      <c r="K106" s="199">
        <v>2</v>
      </c>
      <c r="L106" s="199">
        <v>2</v>
      </c>
      <c r="M106" s="199">
        <v>2</v>
      </c>
      <c r="N106" s="199">
        <v>2</v>
      </c>
      <c r="O106" s="199">
        <v>3</v>
      </c>
      <c r="P106" s="199">
        <v>2</v>
      </c>
      <c r="Q106" s="199">
        <v>2</v>
      </c>
      <c r="R106" s="199">
        <v>2</v>
      </c>
      <c r="S106" s="199">
        <v>3</v>
      </c>
      <c r="T106" s="199">
        <v>2</v>
      </c>
      <c r="U106" s="199">
        <v>2</v>
      </c>
      <c r="V106" s="199">
        <v>3</v>
      </c>
      <c r="W106" s="199">
        <v>2</v>
      </c>
      <c r="X106" s="199">
        <v>2</v>
      </c>
      <c r="Y106" s="199">
        <v>2</v>
      </c>
      <c r="Z106" s="199">
        <v>2</v>
      </c>
      <c r="AA106" s="22"/>
      <c r="AB106" s="199">
        <f>SUM(E106:AA106)</f>
        <v>46</v>
      </c>
      <c r="AC106" s="470"/>
      <c r="AD106" s="470"/>
      <c r="AE106" s="470"/>
    </row>
    <row r="107" spans="2:31" ht="55.5" x14ac:dyDescent="0.15">
      <c r="B107" s="491"/>
      <c r="C107" s="477"/>
      <c r="D107" s="231" t="s">
        <v>15</v>
      </c>
      <c r="E107" s="200" t="s">
        <v>44</v>
      </c>
      <c r="F107" s="204" t="s">
        <v>44</v>
      </c>
      <c r="G107" s="204" t="s">
        <v>44</v>
      </c>
      <c r="H107" s="204" t="s">
        <v>44</v>
      </c>
      <c r="I107" s="204" t="s">
        <v>44</v>
      </c>
      <c r="J107" s="204" t="s">
        <v>44</v>
      </c>
      <c r="K107" s="204" t="s">
        <v>44</v>
      </c>
      <c r="L107" s="204" t="s">
        <v>44</v>
      </c>
      <c r="M107" s="204" t="s">
        <v>44</v>
      </c>
      <c r="N107" s="204" t="s">
        <v>44</v>
      </c>
      <c r="O107" s="204" t="s">
        <v>44</v>
      </c>
      <c r="P107" s="204" t="s">
        <v>44</v>
      </c>
      <c r="Q107" s="204" t="s">
        <v>44</v>
      </c>
      <c r="R107" s="204" t="s">
        <v>44</v>
      </c>
      <c r="S107" s="204" t="s">
        <v>44</v>
      </c>
      <c r="T107" s="204" t="s">
        <v>44</v>
      </c>
      <c r="U107" s="204" t="s">
        <v>44</v>
      </c>
      <c r="V107" s="204" t="s">
        <v>44</v>
      </c>
      <c r="W107" s="204" t="s">
        <v>44</v>
      </c>
      <c r="X107" s="204" t="s">
        <v>44</v>
      </c>
      <c r="Y107" s="204" t="s">
        <v>44</v>
      </c>
      <c r="Z107" s="204" t="s">
        <v>44</v>
      </c>
      <c r="AA107" s="51"/>
      <c r="AB107" s="204"/>
      <c r="AC107" s="471"/>
      <c r="AD107" s="471"/>
      <c r="AE107" s="471"/>
    </row>
    <row r="108" spans="2:31" ht="14.25" customHeight="1" x14ac:dyDescent="0.15">
      <c r="B108" s="494">
        <v>3</v>
      </c>
      <c r="C108" s="483" t="s">
        <v>43</v>
      </c>
      <c r="D108" s="225" t="s">
        <v>26</v>
      </c>
      <c r="E108" s="186">
        <v>2000</v>
      </c>
      <c r="F108" s="186">
        <v>2000</v>
      </c>
      <c r="G108" s="186">
        <v>2000</v>
      </c>
      <c r="H108" s="186">
        <v>2000</v>
      </c>
      <c r="I108" s="186">
        <v>1000</v>
      </c>
      <c r="J108" s="186">
        <v>2000</v>
      </c>
      <c r="K108" s="186">
        <v>2000</v>
      </c>
      <c r="L108" s="186">
        <v>2000</v>
      </c>
      <c r="M108" s="186">
        <v>2000</v>
      </c>
      <c r="N108" s="186">
        <v>2000</v>
      </c>
      <c r="O108" s="186">
        <v>3000</v>
      </c>
      <c r="P108" s="186">
        <v>2000</v>
      </c>
      <c r="Q108" s="186">
        <v>2000</v>
      </c>
      <c r="R108" s="186">
        <v>2000</v>
      </c>
      <c r="S108" s="186">
        <v>3000</v>
      </c>
      <c r="T108" s="186">
        <v>2000</v>
      </c>
      <c r="U108" s="186">
        <v>2000</v>
      </c>
      <c r="V108" s="186">
        <v>3000</v>
      </c>
      <c r="W108" s="186">
        <v>2000</v>
      </c>
      <c r="X108" s="186">
        <v>2000</v>
      </c>
      <c r="Y108" s="186">
        <v>2000</v>
      </c>
      <c r="Z108" s="165">
        <v>2000</v>
      </c>
      <c r="AA108" s="52"/>
      <c r="AB108" s="52"/>
      <c r="AC108" s="98">
        <f>SUM(E108:AB108)</f>
        <v>46000</v>
      </c>
      <c r="AD108" s="485">
        <f>AC108+AC109+AC110+AC111+AC112</f>
        <v>73800</v>
      </c>
      <c r="AE108" s="488"/>
    </row>
    <row r="109" spans="2:31" ht="14.25" customHeight="1" x14ac:dyDescent="0.15">
      <c r="B109" s="494"/>
      <c r="C109" s="476"/>
      <c r="D109" s="228" t="s">
        <v>29</v>
      </c>
      <c r="E109" s="187">
        <v>700</v>
      </c>
      <c r="F109" s="187"/>
      <c r="G109" s="187">
        <v>700</v>
      </c>
      <c r="H109" s="187"/>
      <c r="I109" s="187">
        <v>800</v>
      </c>
      <c r="J109" s="187">
        <v>700</v>
      </c>
      <c r="K109" s="187"/>
      <c r="L109" s="187">
        <v>700</v>
      </c>
      <c r="M109" s="187">
        <v>700</v>
      </c>
      <c r="N109" s="187"/>
      <c r="O109" s="187"/>
      <c r="P109" s="187">
        <v>700</v>
      </c>
      <c r="Q109" s="187">
        <v>700</v>
      </c>
      <c r="R109" s="187"/>
      <c r="S109" s="187"/>
      <c r="T109" s="187"/>
      <c r="U109" s="187">
        <v>700</v>
      </c>
      <c r="V109" s="187"/>
      <c r="W109" s="187">
        <v>700</v>
      </c>
      <c r="X109" s="187"/>
      <c r="Y109" s="187"/>
      <c r="Z109" s="166">
        <v>700</v>
      </c>
      <c r="AA109" s="53"/>
      <c r="AB109" s="53"/>
      <c r="AC109" s="99">
        <f>SUM(E109:AB109)</f>
        <v>7800</v>
      </c>
      <c r="AD109" s="486"/>
      <c r="AE109" s="488"/>
    </row>
    <row r="110" spans="2:31" ht="14.25" customHeight="1" x14ac:dyDescent="0.15">
      <c r="B110" s="494"/>
      <c r="C110" s="476"/>
      <c r="D110" s="229" t="s">
        <v>35</v>
      </c>
      <c r="E110" s="189"/>
      <c r="F110" s="189">
        <v>1600</v>
      </c>
      <c r="G110" s="189"/>
      <c r="H110" s="189">
        <v>1600</v>
      </c>
      <c r="I110" s="189"/>
      <c r="J110" s="189"/>
      <c r="K110" s="189">
        <v>1600</v>
      </c>
      <c r="L110" s="189"/>
      <c r="M110" s="189"/>
      <c r="N110" s="189">
        <v>1600</v>
      </c>
      <c r="O110" s="189">
        <v>2400</v>
      </c>
      <c r="P110" s="189"/>
      <c r="Q110" s="189"/>
      <c r="R110" s="189">
        <v>1600</v>
      </c>
      <c r="S110" s="189">
        <v>2400</v>
      </c>
      <c r="T110" s="189">
        <v>1600</v>
      </c>
      <c r="U110" s="189"/>
      <c r="V110" s="189">
        <v>2400</v>
      </c>
      <c r="W110" s="189"/>
      <c r="X110" s="189">
        <v>1600</v>
      </c>
      <c r="Y110" s="189">
        <v>1600</v>
      </c>
      <c r="Z110" s="54"/>
      <c r="AA110" s="54"/>
      <c r="AB110" s="54"/>
      <c r="AC110" s="99">
        <f>SUM(E110:AB110)</f>
        <v>20000</v>
      </c>
      <c r="AD110" s="486"/>
      <c r="AE110" s="488"/>
    </row>
    <row r="111" spans="2:31" ht="14.25" customHeight="1" x14ac:dyDescent="0.15">
      <c r="B111" s="494"/>
      <c r="C111" s="476"/>
      <c r="D111" s="229" t="s">
        <v>203</v>
      </c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54"/>
      <c r="AA111" s="54"/>
      <c r="AB111" s="54"/>
      <c r="AC111" s="99">
        <f>SUM(E111:AB111)</f>
        <v>0</v>
      </c>
      <c r="AD111" s="486"/>
      <c r="AE111" s="488"/>
    </row>
    <row r="112" spans="2:31" ht="15" customHeight="1" x14ac:dyDescent="0.15">
      <c r="B112" s="494"/>
      <c r="C112" s="484"/>
      <c r="D112" s="230" t="s">
        <v>27</v>
      </c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55"/>
      <c r="AA112" s="55"/>
      <c r="AB112" s="55"/>
      <c r="AC112" s="101">
        <f>SUM(E112:AB112)</f>
        <v>0</v>
      </c>
      <c r="AD112" s="487"/>
      <c r="AE112" s="488"/>
    </row>
    <row r="113" spans="2:31" ht="1.1499999999999999" hidden="1" customHeight="1" x14ac:dyDescent="0.15">
      <c r="B113" s="6"/>
      <c r="C113" s="273"/>
      <c r="D113" s="48"/>
      <c r="E113" s="49"/>
      <c r="F113" s="57"/>
      <c r="G113" s="57"/>
      <c r="H113" s="57"/>
      <c r="I113" s="57"/>
      <c r="J113" s="57"/>
      <c r="K113" s="57"/>
      <c r="L113" s="57"/>
      <c r="M113" s="57"/>
      <c r="N113" s="57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8"/>
      <c r="AC113" s="49"/>
      <c r="AE113" s="7"/>
    </row>
    <row r="114" spans="2:31" ht="6.75" customHeight="1" x14ac:dyDescent="0.15">
      <c r="B114" s="2"/>
      <c r="D114" s="12"/>
      <c r="E114" s="50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0"/>
    </row>
    <row r="115" spans="2:31" ht="5.25" customHeight="1" x14ac:dyDescent="0.15"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</row>
    <row r="116" spans="2:31" ht="14.25" x14ac:dyDescent="0.15">
      <c r="B116" s="489"/>
      <c r="C116" s="475" t="s">
        <v>23</v>
      </c>
      <c r="D116" s="3" t="s">
        <v>32</v>
      </c>
      <c r="E116" s="162">
        <v>1</v>
      </c>
      <c r="F116" s="162">
        <v>2</v>
      </c>
      <c r="G116" s="162">
        <v>3</v>
      </c>
      <c r="H116" s="162">
        <v>4</v>
      </c>
      <c r="I116" s="162">
        <v>5</v>
      </c>
      <c r="J116" s="162">
        <v>6</v>
      </c>
      <c r="K116" s="162">
        <v>7</v>
      </c>
      <c r="L116" s="162">
        <v>8</v>
      </c>
      <c r="M116" s="162">
        <v>9</v>
      </c>
      <c r="N116" s="162">
        <v>10</v>
      </c>
      <c r="O116" s="162">
        <v>11</v>
      </c>
      <c r="P116" s="162">
        <v>12</v>
      </c>
      <c r="Q116" s="162">
        <v>13</v>
      </c>
      <c r="R116" s="162">
        <v>14</v>
      </c>
      <c r="S116" s="162">
        <v>15</v>
      </c>
      <c r="T116" s="162">
        <v>16</v>
      </c>
      <c r="U116" s="162">
        <v>17</v>
      </c>
      <c r="V116" s="162">
        <v>18</v>
      </c>
      <c r="W116" s="162">
        <v>19</v>
      </c>
      <c r="X116" s="162">
        <v>20</v>
      </c>
      <c r="Y116" s="162">
        <v>21</v>
      </c>
      <c r="Z116" s="162">
        <v>22</v>
      </c>
      <c r="AA116" s="162">
        <v>23</v>
      </c>
      <c r="AB116" s="162" t="s">
        <v>55</v>
      </c>
      <c r="AC116" s="469" t="s">
        <v>22</v>
      </c>
      <c r="AD116" s="469" t="s">
        <v>21</v>
      </c>
      <c r="AE116" s="469" t="s">
        <v>20</v>
      </c>
    </row>
    <row r="117" spans="2:31" ht="14.25" x14ac:dyDescent="0.15">
      <c r="B117" s="492"/>
      <c r="C117" s="476"/>
      <c r="D117" s="225" t="s">
        <v>25</v>
      </c>
      <c r="E117" s="193">
        <v>45755</v>
      </c>
      <c r="F117" s="193">
        <v>45757</v>
      </c>
      <c r="G117" s="193">
        <v>45780</v>
      </c>
      <c r="H117" s="193">
        <v>45792</v>
      </c>
      <c r="I117" s="193">
        <v>45839</v>
      </c>
      <c r="J117" s="193">
        <v>45853</v>
      </c>
      <c r="K117" s="193">
        <v>45894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193"/>
      <c r="AC117" s="470"/>
      <c r="AD117" s="470"/>
      <c r="AE117" s="470"/>
    </row>
    <row r="118" spans="2:31" ht="14.25" x14ac:dyDescent="0.15">
      <c r="B118" s="492"/>
      <c r="C118" s="476"/>
      <c r="D118" s="472" t="s">
        <v>24</v>
      </c>
      <c r="E118" s="194">
        <v>0.33333333333333331</v>
      </c>
      <c r="F118" s="194">
        <v>0.33333333333333331</v>
      </c>
      <c r="G118" s="194">
        <v>0.625</v>
      </c>
      <c r="H118" s="194">
        <v>0.33333333333333331</v>
      </c>
      <c r="I118" s="194">
        <v>0.33333333333333331</v>
      </c>
      <c r="J118" s="194">
        <v>0.33333333333333331</v>
      </c>
      <c r="K118" s="194">
        <v>0.33333333333333331</v>
      </c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194"/>
      <c r="AC118" s="470"/>
      <c r="AD118" s="470"/>
      <c r="AE118" s="470"/>
    </row>
    <row r="119" spans="2:31" ht="13.5" customHeight="1" x14ac:dyDescent="0.15">
      <c r="B119" s="492"/>
      <c r="C119" s="476"/>
      <c r="D119" s="473"/>
      <c r="E119" s="195" t="s">
        <v>4</v>
      </c>
      <c r="F119" s="195" t="s">
        <v>4</v>
      </c>
      <c r="G119" s="195" t="s">
        <v>4</v>
      </c>
      <c r="H119" s="195" t="s">
        <v>4</v>
      </c>
      <c r="I119" s="195" t="s">
        <v>4</v>
      </c>
      <c r="J119" s="195" t="s">
        <v>4</v>
      </c>
      <c r="K119" s="195" t="s">
        <v>4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195"/>
      <c r="AC119" s="470"/>
      <c r="AD119" s="470"/>
      <c r="AE119" s="470"/>
    </row>
    <row r="120" spans="2:31" ht="14.25" x14ac:dyDescent="0.15">
      <c r="B120" s="492"/>
      <c r="C120" s="476"/>
      <c r="D120" s="474"/>
      <c r="E120" s="197">
        <v>0.41666666666666669</v>
      </c>
      <c r="F120" s="197">
        <v>0.41666666666666669</v>
      </c>
      <c r="G120" s="197">
        <v>0.70833333333333337</v>
      </c>
      <c r="H120" s="197">
        <v>0.41666666666666669</v>
      </c>
      <c r="I120" s="197">
        <v>0.375</v>
      </c>
      <c r="J120" s="197">
        <v>0.375</v>
      </c>
      <c r="K120" s="197">
        <v>0.41666666666666669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197"/>
      <c r="AC120" s="470"/>
      <c r="AD120" s="470"/>
      <c r="AE120" s="470"/>
    </row>
    <row r="121" spans="2:31" ht="14.25" x14ac:dyDescent="0.15">
      <c r="B121" s="492"/>
      <c r="C121" s="476"/>
      <c r="D121" s="226" t="s">
        <v>5</v>
      </c>
      <c r="E121" s="199">
        <v>2</v>
      </c>
      <c r="F121" s="199">
        <v>2</v>
      </c>
      <c r="G121" s="199">
        <v>2</v>
      </c>
      <c r="H121" s="199">
        <v>2</v>
      </c>
      <c r="I121" s="199">
        <v>1</v>
      </c>
      <c r="J121" s="199">
        <v>1</v>
      </c>
      <c r="K121" s="199">
        <v>2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199">
        <f>SUM(E121:AA121)</f>
        <v>12</v>
      </c>
      <c r="AC121" s="470"/>
      <c r="AD121" s="470"/>
      <c r="AE121" s="470"/>
    </row>
    <row r="122" spans="2:31" ht="55.5" x14ac:dyDescent="0.15">
      <c r="B122" s="493"/>
      <c r="C122" s="477"/>
      <c r="D122" s="231" t="s">
        <v>15</v>
      </c>
      <c r="E122" s="200" t="s">
        <v>44</v>
      </c>
      <c r="F122" s="204" t="s">
        <v>44</v>
      </c>
      <c r="G122" s="204" t="s">
        <v>44</v>
      </c>
      <c r="H122" s="204" t="s">
        <v>44</v>
      </c>
      <c r="I122" s="204" t="s">
        <v>44</v>
      </c>
      <c r="J122" s="204" t="s">
        <v>44</v>
      </c>
      <c r="K122" s="204" t="s">
        <v>44</v>
      </c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204"/>
      <c r="AC122" s="471"/>
      <c r="AD122" s="471"/>
      <c r="AE122" s="471"/>
    </row>
    <row r="123" spans="2:31" ht="14.25" customHeight="1" x14ac:dyDescent="0.15">
      <c r="B123" s="480">
        <v>4</v>
      </c>
      <c r="C123" s="483" t="s">
        <v>64</v>
      </c>
      <c r="D123" s="225" t="s">
        <v>26</v>
      </c>
      <c r="E123" s="186">
        <v>2000</v>
      </c>
      <c r="F123" s="186">
        <v>2000</v>
      </c>
      <c r="G123" s="186">
        <v>2000</v>
      </c>
      <c r="H123" s="186">
        <v>2000</v>
      </c>
      <c r="I123" s="186">
        <v>1000</v>
      </c>
      <c r="J123" s="186">
        <v>1000</v>
      </c>
      <c r="K123" s="186">
        <v>2000</v>
      </c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98">
        <f>SUM(E123:AB123)</f>
        <v>12000</v>
      </c>
      <c r="AD123" s="485">
        <f>AC123+AC124+AC125+AC126+AC127</f>
        <v>16200</v>
      </c>
      <c r="AE123" s="488"/>
    </row>
    <row r="124" spans="2:31" ht="14.25" customHeight="1" x14ac:dyDescent="0.15">
      <c r="B124" s="481"/>
      <c r="C124" s="476"/>
      <c r="D124" s="228" t="s">
        <v>29</v>
      </c>
      <c r="E124" s="187">
        <v>700</v>
      </c>
      <c r="F124" s="187">
        <v>700</v>
      </c>
      <c r="G124" s="187">
        <v>700</v>
      </c>
      <c r="H124" s="187">
        <v>700</v>
      </c>
      <c r="I124" s="187">
        <v>350</v>
      </c>
      <c r="J124" s="187">
        <v>350</v>
      </c>
      <c r="K124" s="187">
        <v>700</v>
      </c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99">
        <f>SUM(E124:AB124)</f>
        <v>4200</v>
      </c>
      <c r="AD124" s="486"/>
      <c r="AE124" s="488"/>
    </row>
    <row r="125" spans="2:31" ht="14.25" customHeight="1" x14ac:dyDescent="0.15">
      <c r="B125" s="481"/>
      <c r="C125" s="476"/>
      <c r="D125" s="229" t="s">
        <v>35</v>
      </c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54"/>
      <c r="V125" s="54"/>
      <c r="W125" s="54"/>
      <c r="X125" s="54"/>
      <c r="Y125" s="54"/>
      <c r="Z125" s="54"/>
      <c r="AA125" s="54"/>
      <c r="AB125" s="54"/>
      <c r="AC125" s="99"/>
      <c r="AD125" s="486"/>
      <c r="AE125" s="488"/>
    </row>
    <row r="126" spans="2:31" ht="14.25" customHeight="1" x14ac:dyDescent="0.15">
      <c r="B126" s="481"/>
      <c r="C126" s="476"/>
      <c r="D126" s="229" t="s">
        <v>203</v>
      </c>
      <c r="E126" s="190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54"/>
      <c r="V126" s="54"/>
      <c r="W126" s="54"/>
      <c r="X126" s="54"/>
      <c r="Y126" s="54"/>
      <c r="Z126" s="54"/>
      <c r="AA126" s="54"/>
      <c r="AB126" s="54"/>
      <c r="AC126" s="99"/>
      <c r="AD126" s="486"/>
      <c r="AE126" s="488"/>
    </row>
    <row r="127" spans="2:31" ht="14.25" customHeight="1" x14ac:dyDescent="0.15">
      <c r="B127" s="482"/>
      <c r="C127" s="484"/>
      <c r="D127" s="230" t="s">
        <v>27</v>
      </c>
      <c r="E127" s="192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55"/>
      <c r="V127" s="55"/>
      <c r="W127" s="55"/>
      <c r="X127" s="55"/>
      <c r="Y127" s="55"/>
      <c r="Z127" s="55"/>
      <c r="AA127" s="55"/>
      <c r="AB127" s="55"/>
      <c r="AC127" s="101"/>
      <c r="AD127" s="487"/>
      <c r="AE127" s="488"/>
    </row>
    <row r="128" spans="2:31" ht="6.75" customHeight="1" x14ac:dyDescent="0.15">
      <c r="B128" s="410"/>
      <c r="C128" s="411"/>
      <c r="D128" s="412"/>
      <c r="E128" s="347"/>
      <c r="F128" s="413"/>
      <c r="G128" s="413"/>
      <c r="H128" s="413"/>
      <c r="I128" s="413"/>
      <c r="J128" s="413"/>
      <c r="K128" s="413"/>
      <c r="L128" s="413"/>
      <c r="M128" s="413"/>
      <c r="N128" s="413"/>
      <c r="O128" s="413"/>
      <c r="P128" s="413"/>
      <c r="Q128" s="413"/>
      <c r="R128" s="414"/>
      <c r="S128" s="414"/>
      <c r="T128" s="414"/>
      <c r="U128" s="58"/>
      <c r="V128" s="56"/>
      <c r="W128" s="58"/>
      <c r="X128" s="58"/>
      <c r="Y128" s="58"/>
      <c r="Z128" s="58"/>
      <c r="AA128" s="58"/>
      <c r="AB128" s="58"/>
      <c r="AC128" s="415"/>
      <c r="AD128" s="416"/>
      <c r="AE128" s="35"/>
    </row>
    <row r="129" spans="1:33" ht="6.75" customHeight="1" x14ac:dyDescent="0.15">
      <c r="B129" s="356"/>
      <c r="C129" s="282"/>
      <c r="D129" s="86"/>
      <c r="E129" s="87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7"/>
      <c r="AD129" s="118"/>
      <c r="AE129" s="8"/>
    </row>
    <row r="130" spans="1:33" ht="17.45" customHeight="1" x14ac:dyDescent="0.15">
      <c r="A130" s="38"/>
      <c r="B130" s="224"/>
      <c r="C130" s="283"/>
      <c r="D130" s="232" t="s">
        <v>73</v>
      </c>
      <c r="E130" s="408">
        <f t="shared" ref="E130:AA130" si="3">E80+E93+E106+E121</f>
        <v>7</v>
      </c>
      <c r="F130" s="408">
        <f t="shared" si="3"/>
        <v>8</v>
      </c>
      <c r="G130" s="408">
        <f t="shared" si="3"/>
        <v>8</v>
      </c>
      <c r="H130" s="408">
        <f t="shared" si="3"/>
        <v>8</v>
      </c>
      <c r="I130" s="408">
        <f t="shared" si="3"/>
        <v>6</v>
      </c>
      <c r="J130" s="408">
        <f t="shared" si="3"/>
        <v>7</v>
      </c>
      <c r="K130" s="408">
        <f t="shared" si="3"/>
        <v>7</v>
      </c>
      <c r="L130" s="408">
        <f t="shared" si="3"/>
        <v>5</v>
      </c>
      <c r="M130" s="408">
        <f t="shared" si="3"/>
        <v>6</v>
      </c>
      <c r="N130" s="408">
        <f t="shared" si="3"/>
        <v>6</v>
      </c>
      <c r="O130" s="408">
        <f t="shared" si="3"/>
        <v>7</v>
      </c>
      <c r="P130" s="408">
        <f t="shared" si="3"/>
        <v>6</v>
      </c>
      <c r="Q130" s="408">
        <f t="shared" si="3"/>
        <v>6</v>
      </c>
      <c r="R130" s="408">
        <f t="shared" si="3"/>
        <v>5</v>
      </c>
      <c r="S130" s="408">
        <f t="shared" si="3"/>
        <v>6</v>
      </c>
      <c r="T130" s="408">
        <f t="shared" si="3"/>
        <v>6</v>
      </c>
      <c r="U130" s="408">
        <f t="shared" si="3"/>
        <v>5</v>
      </c>
      <c r="V130" s="408">
        <f t="shared" si="3"/>
        <v>7</v>
      </c>
      <c r="W130" s="408">
        <f t="shared" si="3"/>
        <v>6</v>
      </c>
      <c r="X130" s="408">
        <f t="shared" si="3"/>
        <v>6</v>
      </c>
      <c r="Y130" s="408">
        <f t="shared" si="3"/>
        <v>4</v>
      </c>
      <c r="Z130" s="408">
        <f t="shared" si="3"/>
        <v>4</v>
      </c>
      <c r="AA130" s="408">
        <f t="shared" si="3"/>
        <v>2</v>
      </c>
      <c r="AB130" s="127">
        <f>AB80+AB93+AB106+AB121</f>
        <v>138</v>
      </c>
      <c r="AC130" s="124"/>
      <c r="AD130" s="126"/>
      <c r="AE130" s="521"/>
    </row>
    <row r="131" spans="1:33" ht="17.45" customHeight="1" x14ac:dyDescent="0.15">
      <c r="B131" s="237"/>
      <c r="C131" s="284"/>
      <c r="D131" s="233" t="s">
        <v>26</v>
      </c>
      <c r="E131" s="258">
        <f t="shared" ref="E131:AA131" si="4">E82+E95+E108+E123</f>
        <v>7000</v>
      </c>
      <c r="F131" s="260">
        <f t="shared" si="4"/>
        <v>8000</v>
      </c>
      <c r="G131" s="258">
        <f t="shared" si="4"/>
        <v>8000</v>
      </c>
      <c r="H131" s="258">
        <f t="shared" si="4"/>
        <v>8000</v>
      </c>
      <c r="I131" s="260">
        <f t="shared" si="4"/>
        <v>6000</v>
      </c>
      <c r="J131" s="265">
        <f t="shared" si="4"/>
        <v>7000</v>
      </c>
      <c r="K131" s="265">
        <f t="shared" si="4"/>
        <v>7000</v>
      </c>
      <c r="L131" s="265">
        <f t="shared" si="4"/>
        <v>5000</v>
      </c>
      <c r="M131" s="265">
        <f t="shared" si="4"/>
        <v>6000</v>
      </c>
      <c r="N131" s="265">
        <f t="shared" si="4"/>
        <v>6000</v>
      </c>
      <c r="O131" s="265">
        <f t="shared" si="4"/>
        <v>7000</v>
      </c>
      <c r="P131" s="258">
        <f t="shared" si="4"/>
        <v>6000</v>
      </c>
      <c r="Q131" s="260">
        <f t="shared" si="4"/>
        <v>6000</v>
      </c>
      <c r="R131" s="258">
        <f t="shared" si="4"/>
        <v>5000</v>
      </c>
      <c r="S131" s="258">
        <f t="shared" si="4"/>
        <v>6000</v>
      </c>
      <c r="T131" s="258">
        <f t="shared" si="4"/>
        <v>6000</v>
      </c>
      <c r="U131" s="260">
        <f t="shared" si="4"/>
        <v>5000</v>
      </c>
      <c r="V131" s="258">
        <f t="shared" si="4"/>
        <v>7000</v>
      </c>
      <c r="W131" s="260">
        <f t="shared" si="4"/>
        <v>6000</v>
      </c>
      <c r="X131" s="260">
        <f t="shared" si="4"/>
        <v>6000</v>
      </c>
      <c r="Y131" s="265">
        <f t="shared" si="4"/>
        <v>4000</v>
      </c>
      <c r="Z131" s="265">
        <f t="shared" si="4"/>
        <v>4000</v>
      </c>
      <c r="AA131" s="265">
        <f t="shared" si="4"/>
        <v>2000</v>
      </c>
      <c r="AB131" s="114"/>
      <c r="AC131" s="119">
        <f>AC82+AC95+AC108+AC123</f>
        <v>138000</v>
      </c>
      <c r="AD131" s="486">
        <f>AC131+AC132+AC133+AC134+AC135</f>
        <v>204750</v>
      </c>
      <c r="AE131" s="522"/>
    </row>
    <row r="132" spans="1:33" ht="17.45" customHeight="1" x14ac:dyDescent="0.15">
      <c r="B132" s="478" t="s">
        <v>262</v>
      </c>
      <c r="C132" s="479"/>
      <c r="D132" s="234" t="s">
        <v>29</v>
      </c>
      <c r="E132" s="260">
        <f t="shared" ref="E132:AA132" si="5">E83+E96+E109+E124</f>
        <v>2450</v>
      </c>
      <c r="F132" s="264">
        <f t="shared" si="5"/>
        <v>1750</v>
      </c>
      <c r="G132" s="260">
        <f t="shared" si="5"/>
        <v>2800</v>
      </c>
      <c r="H132" s="260">
        <f t="shared" si="5"/>
        <v>1400</v>
      </c>
      <c r="I132" s="264">
        <f t="shared" si="5"/>
        <v>1850</v>
      </c>
      <c r="J132" s="264">
        <f t="shared" si="5"/>
        <v>2450</v>
      </c>
      <c r="K132" s="264">
        <f t="shared" si="5"/>
        <v>1750</v>
      </c>
      <c r="L132" s="264">
        <f t="shared" si="5"/>
        <v>1750</v>
      </c>
      <c r="M132" s="264">
        <f t="shared" si="5"/>
        <v>2100</v>
      </c>
      <c r="N132" s="264">
        <f t="shared" si="5"/>
        <v>700</v>
      </c>
      <c r="O132" s="260">
        <f t="shared" si="5"/>
        <v>700</v>
      </c>
      <c r="P132" s="260">
        <f t="shared" si="5"/>
        <v>1400</v>
      </c>
      <c r="Q132" s="266">
        <f t="shared" si="5"/>
        <v>1400</v>
      </c>
      <c r="R132" s="260">
        <f t="shared" si="5"/>
        <v>0</v>
      </c>
      <c r="S132" s="260">
        <f t="shared" si="5"/>
        <v>0</v>
      </c>
      <c r="T132" s="259">
        <f t="shared" si="5"/>
        <v>700</v>
      </c>
      <c r="U132" s="266">
        <f t="shared" si="5"/>
        <v>1750</v>
      </c>
      <c r="V132" s="259">
        <f t="shared" si="5"/>
        <v>1400</v>
      </c>
      <c r="W132" s="260">
        <f t="shared" si="5"/>
        <v>1400</v>
      </c>
      <c r="X132" s="258">
        <f t="shared" si="5"/>
        <v>700</v>
      </c>
      <c r="Y132" s="258">
        <f t="shared" si="5"/>
        <v>700</v>
      </c>
      <c r="Z132" s="258">
        <f t="shared" si="5"/>
        <v>1400</v>
      </c>
      <c r="AA132" s="258">
        <f t="shared" si="5"/>
        <v>700</v>
      </c>
      <c r="AB132" s="53"/>
      <c r="AC132" s="89">
        <f>AC83+AC96+AC109+AC124</f>
        <v>31250</v>
      </c>
      <c r="AD132" s="486"/>
      <c r="AE132" s="522"/>
    </row>
    <row r="133" spans="1:33" ht="17.45" customHeight="1" x14ac:dyDescent="0.15">
      <c r="B133" s="478" t="s">
        <v>266</v>
      </c>
      <c r="C133" s="479"/>
      <c r="D133" s="235" t="s">
        <v>35</v>
      </c>
      <c r="E133" s="266">
        <f t="shared" ref="E133:AA133" si="6">E84+E97+E110+E125</f>
        <v>0</v>
      </c>
      <c r="F133" s="264">
        <f t="shared" si="6"/>
        <v>2400</v>
      </c>
      <c r="G133" s="264">
        <f t="shared" si="6"/>
        <v>0</v>
      </c>
      <c r="H133" s="264">
        <f t="shared" si="6"/>
        <v>3200</v>
      </c>
      <c r="I133" s="264">
        <f t="shared" si="6"/>
        <v>1600</v>
      </c>
      <c r="J133" s="264">
        <f t="shared" si="6"/>
        <v>0</v>
      </c>
      <c r="K133" s="264">
        <f t="shared" si="6"/>
        <v>1600</v>
      </c>
      <c r="L133" s="264">
        <f t="shared" si="6"/>
        <v>0</v>
      </c>
      <c r="M133" s="264">
        <f t="shared" si="6"/>
        <v>0</v>
      </c>
      <c r="N133" s="264">
        <f t="shared" si="6"/>
        <v>3200</v>
      </c>
      <c r="O133" s="264">
        <f t="shared" si="6"/>
        <v>4000</v>
      </c>
      <c r="P133" s="260">
        <f t="shared" si="6"/>
        <v>0</v>
      </c>
      <c r="Q133" s="258">
        <f t="shared" si="6"/>
        <v>0</v>
      </c>
      <c r="R133" s="258">
        <f t="shared" si="6"/>
        <v>1600</v>
      </c>
      <c r="S133" s="260">
        <f t="shared" si="6"/>
        <v>2400</v>
      </c>
      <c r="T133" s="259">
        <f t="shared" si="6"/>
        <v>3200</v>
      </c>
      <c r="U133" s="258">
        <f t="shared" si="6"/>
        <v>0</v>
      </c>
      <c r="V133" s="259">
        <f t="shared" si="6"/>
        <v>2400</v>
      </c>
      <c r="W133" s="258">
        <f t="shared" si="6"/>
        <v>1600</v>
      </c>
      <c r="X133" s="259">
        <f t="shared" si="6"/>
        <v>3200</v>
      </c>
      <c r="Y133" s="259">
        <f t="shared" si="6"/>
        <v>1600</v>
      </c>
      <c r="Z133" s="259">
        <f t="shared" si="6"/>
        <v>0</v>
      </c>
      <c r="AA133" s="260">
        <f t="shared" si="6"/>
        <v>0</v>
      </c>
      <c r="AB133" s="54"/>
      <c r="AC133" s="90">
        <f>AC84+AC97+AC110+AC125</f>
        <v>32000</v>
      </c>
      <c r="AD133" s="486"/>
      <c r="AE133" s="522"/>
    </row>
    <row r="134" spans="1:33" ht="17.45" customHeight="1" x14ac:dyDescent="0.15">
      <c r="B134" s="237"/>
      <c r="C134" s="284"/>
      <c r="D134" s="235" t="s">
        <v>203</v>
      </c>
      <c r="E134" s="258">
        <f t="shared" ref="E134:AA134" si="7">E85+E98+E111+E126</f>
        <v>0</v>
      </c>
      <c r="F134" s="258">
        <f t="shared" si="7"/>
        <v>0</v>
      </c>
      <c r="G134" s="258">
        <f t="shared" si="7"/>
        <v>0</v>
      </c>
      <c r="H134" s="258">
        <f t="shared" si="7"/>
        <v>0</v>
      </c>
      <c r="I134" s="258">
        <f t="shared" si="7"/>
        <v>0</v>
      </c>
      <c r="J134" s="258">
        <f t="shared" si="7"/>
        <v>0</v>
      </c>
      <c r="K134" s="260">
        <f t="shared" si="7"/>
        <v>0</v>
      </c>
      <c r="L134" s="258">
        <f t="shared" si="7"/>
        <v>0</v>
      </c>
      <c r="M134" s="258">
        <f t="shared" si="7"/>
        <v>0</v>
      </c>
      <c r="N134" s="260">
        <f t="shared" si="7"/>
        <v>0</v>
      </c>
      <c r="O134" s="258">
        <f t="shared" si="7"/>
        <v>0</v>
      </c>
      <c r="P134" s="258">
        <f t="shared" si="7"/>
        <v>700</v>
      </c>
      <c r="Q134" s="259">
        <f t="shared" si="7"/>
        <v>700</v>
      </c>
      <c r="R134" s="259">
        <f t="shared" si="7"/>
        <v>1050</v>
      </c>
      <c r="S134" s="259">
        <f t="shared" si="7"/>
        <v>1050</v>
      </c>
      <c r="T134" s="259">
        <f t="shared" si="7"/>
        <v>0</v>
      </c>
      <c r="U134" s="260">
        <f t="shared" si="7"/>
        <v>0</v>
      </c>
      <c r="V134" s="259">
        <f t="shared" si="7"/>
        <v>0</v>
      </c>
      <c r="W134" s="259">
        <f t="shared" si="7"/>
        <v>0</v>
      </c>
      <c r="X134" s="259">
        <f t="shared" si="7"/>
        <v>0</v>
      </c>
      <c r="Y134" s="259">
        <f t="shared" si="7"/>
        <v>0</v>
      </c>
      <c r="Z134" s="260">
        <f t="shared" si="7"/>
        <v>0</v>
      </c>
      <c r="AA134" s="258">
        <f t="shared" si="7"/>
        <v>0</v>
      </c>
      <c r="AB134" s="54"/>
      <c r="AC134" s="90">
        <f>AC85+AC98+AC111+AC126</f>
        <v>3500</v>
      </c>
      <c r="AD134" s="486"/>
      <c r="AE134" s="522"/>
    </row>
    <row r="135" spans="1:33" ht="17.45" customHeight="1" x14ac:dyDescent="0.15">
      <c r="B135" s="238"/>
      <c r="C135" s="285"/>
      <c r="D135" s="236" t="s">
        <v>27</v>
      </c>
      <c r="E135" s="261">
        <f t="shared" ref="E135:AA135" si="8">E86+E99+E112+E127</f>
        <v>0</v>
      </c>
      <c r="F135" s="261">
        <f t="shared" si="8"/>
        <v>0</v>
      </c>
      <c r="G135" s="261">
        <f t="shared" si="8"/>
        <v>0</v>
      </c>
      <c r="H135" s="261">
        <f t="shared" si="8"/>
        <v>0</v>
      </c>
      <c r="I135" s="261">
        <f t="shared" si="8"/>
        <v>0</v>
      </c>
      <c r="J135" s="261">
        <f t="shared" si="8"/>
        <v>0</v>
      </c>
      <c r="K135" s="263">
        <f t="shared" si="8"/>
        <v>0</v>
      </c>
      <c r="L135" s="261">
        <f t="shared" si="8"/>
        <v>0</v>
      </c>
      <c r="M135" s="261">
        <f t="shared" si="8"/>
        <v>0</v>
      </c>
      <c r="N135" s="263">
        <f t="shared" si="8"/>
        <v>0</v>
      </c>
      <c r="O135" s="261">
        <f t="shared" si="8"/>
        <v>0</v>
      </c>
      <c r="P135" s="261">
        <f t="shared" si="8"/>
        <v>0</v>
      </c>
      <c r="Q135" s="261">
        <f t="shared" si="8"/>
        <v>0</v>
      </c>
      <c r="R135" s="261">
        <f t="shared" si="8"/>
        <v>0</v>
      </c>
      <c r="S135" s="261">
        <f t="shared" si="8"/>
        <v>0</v>
      </c>
      <c r="T135" s="261">
        <f t="shared" si="8"/>
        <v>0</v>
      </c>
      <c r="U135" s="263">
        <f t="shared" si="8"/>
        <v>0</v>
      </c>
      <c r="V135" s="261">
        <f t="shared" si="8"/>
        <v>0</v>
      </c>
      <c r="W135" s="261">
        <f t="shared" si="8"/>
        <v>0</v>
      </c>
      <c r="X135" s="261">
        <f t="shared" si="8"/>
        <v>0</v>
      </c>
      <c r="Y135" s="261">
        <f t="shared" si="8"/>
        <v>0</v>
      </c>
      <c r="Z135" s="263">
        <f t="shared" si="8"/>
        <v>0</v>
      </c>
      <c r="AA135" s="261">
        <f t="shared" si="8"/>
        <v>0</v>
      </c>
      <c r="AB135" s="55"/>
      <c r="AC135" s="91">
        <f>AC86+AC99+AC112+AC127</f>
        <v>0</v>
      </c>
      <c r="AD135" s="487"/>
      <c r="AE135" s="523"/>
    </row>
    <row r="136" spans="1:33" ht="15" customHeight="1" x14ac:dyDescent="0.15">
      <c r="B136" s="2"/>
      <c r="D136" s="12"/>
      <c r="E136" s="50"/>
      <c r="F136" s="56"/>
      <c r="G136" s="56"/>
      <c r="H136" s="56"/>
      <c r="I136" s="56"/>
      <c r="J136" s="56"/>
      <c r="K136" s="56"/>
      <c r="L136" s="56"/>
      <c r="M136" s="56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111"/>
      <c r="AD136" s="35"/>
      <c r="AE136" s="35"/>
    </row>
    <row r="137" spans="1:33" ht="9.75" customHeight="1" thickBot="1" x14ac:dyDescent="0.2">
      <c r="B137" s="128"/>
      <c r="C137" s="286"/>
      <c r="D137" s="128"/>
      <c r="E137" s="129"/>
      <c r="F137" s="130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50"/>
      <c r="AE137" s="128"/>
    </row>
    <row r="138" spans="1:33" ht="18" customHeight="1" x14ac:dyDescent="0.2">
      <c r="B138" s="306"/>
      <c r="C138" s="287"/>
      <c r="D138" s="315" t="s">
        <v>5</v>
      </c>
      <c r="E138" s="311">
        <f>E56+E130</f>
        <v>15</v>
      </c>
      <c r="F138" s="311">
        <f t="shared" ref="F138:AC143" si="9">F56+F130</f>
        <v>15</v>
      </c>
      <c r="G138" s="311">
        <f t="shared" si="9"/>
        <v>16</v>
      </c>
      <c r="H138" s="311">
        <f t="shared" si="9"/>
        <v>15</v>
      </c>
      <c r="I138" s="311">
        <f t="shared" si="9"/>
        <v>13</v>
      </c>
      <c r="J138" s="311">
        <f t="shared" si="9"/>
        <v>14</v>
      </c>
      <c r="K138" s="311">
        <f t="shared" si="9"/>
        <v>15</v>
      </c>
      <c r="L138" s="311">
        <f t="shared" si="9"/>
        <v>12</v>
      </c>
      <c r="M138" s="311">
        <f t="shared" si="9"/>
        <v>13</v>
      </c>
      <c r="N138" s="311">
        <f t="shared" si="9"/>
        <v>13</v>
      </c>
      <c r="O138" s="311">
        <f t="shared" si="9"/>
        <v>13</v>
      </c>
      <c r="P138" s="311">
        <f t="shared" si="9"/>
        <v>14</v>
      </c>
      <c r="Q138" s="311">
        <f t="shared" si="9"/>
        <v>12</v>
      </c>
      <c r="R138" s="311">
        <f t="shared" si="9"/>
        <v>11</v>
      </c>
      <c r="S138" s="311">
        <f t="shared" si="9"/>
        <v>14</v>
      </c>
      <c r="T138" s="311">
        <f t="shared" si="9"/>
        <v>12</v>
      </c>
      <c r="U138" s="311">
        <f t="shared" si="9"/>
        <v>12</v>
      </c>
      <c r="V138" s="323">
        <f t="shared" si="9"/>
        <v>14</v>
      </c>
      <c r="W138" s="307">
        <f t="shared" si="9"/>
        <v>12</v>
      </c>
      <c r="X138" s="311">
        <f t="shared" si="9"/>
        <v>9</v>
      </c>
      <c r="Y138" s="311">
        <f t="shared" si="9"/>
        <v>6</v>
      </c>
      <c r="Z138" s="312">
        <f t="shared" si="9"/>
        <v>6</v>
      </c>
      <c r="AA138" s="311">
        <f t="shared" si="9"/>
        <v>5</v>
      </c>
      <c r="AB138" s="307">
        <f t="shared" si="9"/>
        <v>281</v>
      </c>
      <c r="AC138" s="325"/>
      <c r="AD138" s="417" t="s">
        <v>273</v>
      </c>
      <c r="AE138" s="324"/>
      <c r="AF138" s="310"/>
    </row>
    <row r="139" spans="1:33" ht="18" customHeight="1" thickBot="1" x14ac:dyDescent="0.2">
      <c r="B139" s="112"/>
      <c r="C139" s="288"/>
      <c r="D139" s="317" t="s">
        <v>26</v>
      </c>
      <c r="E139" s="321">
        <f t="shared" ref="E139:T143" si="10">E57+E131</f>
        <v>15000</v>
      </c>
      <c r="F139" s="321">
        <f t="shared" si="10"/>
        <v>15000</v>
      </c>
      <c r="G139" s="321">
        <f t="shared" si="10"/>
        <v>16000</v>
      </c>
      <c r="H139" s="321">
        <f t="shared" si="10"/>
        <v>15000</v>
      </c>
      <c r="I139" s="321">
        <f t="shared" si="10"/>
        <v>13000</v>
      </c>
      <c r="J139" s="321">
        <f t="shared" si="10"/>
        <v>14000</v>
      </c>
      <c r="K139" s="321">
        <f t="shared" si="10"/>
        <v>15000</v>
      </c>
      <c r="L139" s="321">
        <f t="shared" si="10"/>
        <v>12000</v>
      </c>
      <c r="M139" s="321">
        <f t="shared" si="10"/>
        <v>13000</v>
      </c>
      <c r="N139" s="321">
        <f t="shared" si="10"/>
        <v>13000</v>
      </c>
      <c r="O139" s="321">
        <f t="shared" si="10"/>
        <v>13000</v>
      </c>
      <c r="P139" s="321">
        <f t="shared" si="10"/>
        <v>14000</v>
      </c>
      <c r="Q139" s="321">
        <f t="shared" si="10"/>
        <v>12000</v>
      </c>
      <c r="R139" s="321">
        <f t="shared" si="10"/>
        <v>11000</v>
      </c>
      <c r="S139" s="321">
        <f t="shared" si="10"/>
        <v>14000</v>
      </c>
      <c r="T139" s="321">
        <f t="shared" si="10"/>
        <v>12000</v>
      </c>
      <c r="U139" s="321">
        <f t="shared" si="9"/>
        <v>12000</v>
      </c>
      <c r="V139" s="321">
        <f t="shared" si="9"/>
        <v>14000</v>
      </c>
      <c r="W139" s="321">
        <f t="shared" si="9"/>
        <v>12000</v>
      </c>
      <c r="X139" s="321">
        <f t="shared" si="9"/>
        <v>9000</v>
      </c>
      <c r="Y139" s="321">
        <f t="shared" si="9"/>
        <v>6000</v>
      </c>
      <c r="Z139" s="321">
        <f t="shared" si="9"/>
        <v>6000</v>
      </c>
      <c r="AA139" s="321">
        <f t="shared" si="9"/>
        <v>5000</v>
      </c>
      <c r="AB139" s="321">
        <f t="shared" si="9"/>
        <v>0</v>
      </c>
      <c r="AC139" s="326">
        <f t="shared" si="9"/>
        <v>281000</v>
      </c>
      <c r="AD139" s="418">
        <v>281000</v>
      </c>
      <c r="AE139" s="519"/>
      <c r="AF139" s="310"/>
    </row>
    <row r="140" spans="1:33" ht="18" customHeight="1" x14ac:dyDescent="0.15">
      <c r="B140" s="514" t="s">
        <v>53</v>
      </c>
      <c r="C140" s="515"/>
      <c r="D140" s="318" t="s">
        <v>29</v>
      </c>
      <c r="E140" s="321">
        <f t="shared" si="10"/>
        <v>5250</v>
      </c>
      <c r="F140" s="321">
        <f t="shared" si="9"/>
        <v>2800</v>
      </c>
      <c r="G140" s="321">
        <f t="shared" si="9"/>
        <v>3500</v>
      </c>
      <c r="H140" s="321">
        <f t="shared" si="9"/>
        <v>3500</v>
      </c>
      <c r="I140" s="321">
        <f t="shared" si="9"/>
        <v>3250</v>
      </c>
      <c r="J140" s="321">
        <f t="shared" si="9"/>
        <v>4200</v>
      </c>
      <c r="K140" s="321">
        <f t="shared" si="9"/>
        <v>3500</v>
      </c>
      <c r="L140" s="321">
        <f t="shared" si="9"/>
        <v>3850</v>
      </c>
      <c r="M140" s="321">
        <f t="shared" si="9"/>
        <v>3500</v>
      </c>
      <c r="N140" s="321">
        <f t="shared" si="9"/>
        <v>2100</v>
      </c>
      <c r="O140" s="321">
        <f t="shared" si="9"/>
        <v>2800</v>
      </c>
      <c r="P140" s="321">
        <f t="shared" si="9"/>
        <v>3500</v>
      </c>
      <c r="Q140" s="321">
        <f t="shared" si="9"/>
        <v>2100</v>
      </c>
      <c r="R140" s="321">
        <f t="shared" si="9"/>
        <v>700</v>
      </c>
      <c r="S140" s="321">
        <f t="shared" si="9"/>
        <v>0</v>
      </c>
      <c r="T140" s="321">
        <f t="shared" si="9"/>
        <v>1050</v>
      </c>
      <c r="U140" s="321">
        <f t="shared" si="9"/>
        <v>3150</v>
      </c>
      <c r="V140" s="321">
        <f t="shared" si="9"/>
        <v>2450</v>
      </c>
      <c r="W140" s="321">
        <f t="shared" si="9"/>
        <v>2800</v>
      </c>
      <c r="X140" s="321">
        <f t="shared" si="9"/>
        <v>1400</v>
      </c>
      <c r="Y140" s="321">
        <f t="shared" si="9"/>
        <v>700</v>
      </c>
      <c r="Z140" s="321">
        <f t="shared" si="9"/>
        <v>2100</v>
      </c>
      <c r="AA140" s="321">
        <f t="shared" si="9"/>
        <v>1400</v>
      </c>
      <c r="AB140" s="321">
        <f t="shared" si="9"/>
        <v>0</v>
      </c>
      <c r="AC140" s="327">
        <f t="shared" si="9"/>
        <v>59600</v>
      </c>
      <c r="AD140" s="417" t="s">
        <v>274</v>
      </c>
      <c r="AE140" s="519"/>
      <c r="AF140" s="310"/>
    </row>
    <row r="141" spans="1:33" ht="18" customHeight="1" thickBot="1" x14ac:dyDescent="0.2">
      <c r="B141" s="516" t="s">
        <v>89</v>
      </c>
      <c r="C141" s="517"/>
      <c r="D141" s="319" t="s">
        <v>35</v>
      </c>
      <c r="E141" s="321">
        <f t="shared" si="10"/>
        <v>0</v>
      </c>
      <c r="F141" s="321">
        <f t="shared" si="9"/>
        <v>5600</v>
      </c>
      <c r="G141" s="321">
        <f t="shared" si="9"/>
        <v>4800</v>
      </c>
      <c r="H141" s="321">
        <f t="shared" si="9"/>
        <v>4000</v>
      </c>
      <c r="I141" s="321">
        <f t="shared" si="9"/>
        <v>4000</v>
      </c>
      <c r="J141" s="321">
        <f t="shared" si="9"/>
        <v>1600</v>
      </c>
      <c r="K141" s="321">
        <f t="shared" si="9"/>
        <v>4000</v>
      </c>
      <c r="L141" s="321">
        <f t="shared" si="9"/>
        <v>800</v>
      </c>
      <c r="M141" s="321">
        <f t="shared" si="9"/>
        <v>2400</v>
      </c>
      <c r="N141" s="321">
        <f t="shared" si="9"/>
        <v>5600</v>
      </c>
      <c r="O141" s="321">
        <f t="shared" si="9"/>
        <v>4000</v>
      </c>
      <c r="P141" s="321">
        <f t="shared" si="9"/>
        <v>0</v>
      </c>
      <c r="Q141" s="321">
        <f t="shared" si="9"/>
        <v>2400</v>
      </c>
      <c r="R141" s="321">
        <f t="shared" si="9"/>
        <v>1600</v>
      </c>
      <c r="S141" s="321">
        <f t="shared" si="9"/>
        <v>4000</v>
      </c>
      <c r="T141" s="321">
        <f t="shared" si="9"/>
        <v>3200</v>
      </c>
      <c r="U141" s="321">
        <f t="shared" si="9"/>
        <v>1600</v>
      </c>
      <c r="V141" s="321">
        <f t="shared" si="9"/>
        <v>4000</v>
      </c>
      <c r="W141" s="321">
        <f t="shared" si="9"/>
        <v>3200</v>
      </c>
      <c r="X141" s="321">
        <f t="shared" si="9"/>
        <v>3200</v>
      </c>
      <c r="Y141" s="321">
        <f t="shared" si="9"/>
        <v>1600</v>
      </c>
      <c r="Z141" s="321">
        <f t="shared" si="9"/>
        <v>0</v>
      </c>
      <c r="AA141" s="321">
        <f t="shared" si="9"/>
        <v>800</v>
      </c>
      <c r="AB141" s="321">
        <f t="shared" si="9"/>
        <v>0</v>
      </c>
      <c r="AC141" s="326">
        <f t="shared" si="9"/>
        <v>62400</v>
      </c>
      <c r="AD141" s="418">
        <v>134600</v>
      </c>
      <c r="AE141" s="519"/>
      <c r="AF141" s="310"/>
    </row>
    <row r="142" spans="1:33" ht="23.25" customHeight="1" x14ac:dyDescent="0.15">
      <c r="B142" s="112"/>
      <c r="C142" s="288"/>
      <c r="D142" s="320" t="s">
        <v>203</v>
      </c>
      <c r="E142" s="321">
        <f t="shared" si="10"/>
        <v>0</v>
      </c>
      <c r="F142" s="321">
        <f t="shared" si="9"/>
        <v>0</v>
      </c>
      <c r="G142" s="321">
        <f t="shared" si="9"/>
        <v>0</v>
      </c>
      <c r="H142" s="321">
        <f t="shared" si="9"/>
        <v>0</v>
      </c>
      <c r="I142" s="321">
        <f t="shared" si="9"/>
        <v>0</v>
      </c>
      <c r="J142" s="321">
        <f t="shared" si="9"/>
        <v>0</v>
      </c>
      <c r="K142" s="321">
        <f t="shared" si="9"/>
        <v>0</v>
      </c>
      <c r="L142" s="321">
        <f t="shared" si="9"/>
        <v>0</v>
      </c>
      <c r="M142" s="321">
        <f t="shared" si="9"/>
        <v>0</v>
      </c>
      <c r="N142" s="321">
        <f t="shared" si="9"/>
        <v>0</v>
      </c>
      <c r="O142" s="321">
        <f t="shared" si="9"/>
        <v>0</v>
      </c>
      <c r="P142" s="321">
        <f t="shared" si="9"/>
        <v>1400</v>
      </c>
      <c r="Q142" s="321">
        <f t="shared" si="9"/>
        <v>1050</v>
      </c>
      <c r="R142" s="321">
        <f t="shared" si="9"/>
        <v>2450</v>
      </c>
      <c r="S142" s="321">
        <f t="shared" si="9"/>
        <v>3150</v>
      </c>
      <c r="T142" s="321">
        <f t="shared" si="9"/>
        <v>1750</v>
      </c>
      <c r="U142" s="321">
        <f t="shared" si="9"/>
        <v>350</v>
      </c>
      <c r="V142" s="321">
        <f t="shared" si="9"/>
        <v>700</v>
      </c>
      <c r="W142" s="321">
        <f t="shared" si="9"/>
        <v>700</v>
      </c>
      <c r="X142" s="321">
        <f t="shared" si="9"/>
        <v>350</v>
      </c>
      <c r="Y142" s="321">
        <f t="shared" si="9"/>
        <v>700</v>
      </c>
      <c r="Z142" s="321">
        <f t="shared" si="9"/>
        <v>0</v>
      </c>
      <c r="AA142" s="321">
        <f t="shared" si="9"/>
        <v>0</v>
      </c>
      <c r="AB142" s="321">
        <f t="shared" si="9"/>
        <v>0</v>
      </c>
      <c r="AC142" s="326">
        <f t="shared" si="9"/>
        <v>12600</v>
      </c>
      <c r="AD142" s="419" t="s">
        <v>275</v>
      </c>
      <c r="AE142" s="519"/>
      <c r="AF142" s="310"/>
    </row>
    <row r="143" spans="1:33" ht="23.25" customHeight="1" thickBot="1" x14ac:dyDescent="0.2">
      <c r="B143" s="113"/>
      <c r="C143" s="289"/>
      <c r="D143" s="316" t="s">
        <v>27</v>
      </c>
      <c r="E143" s="313">
        <f t="shared" si="10"/>
        <v>0</v>
      </c>
      <c r="F143" s="313">
        <f t="shared" si="9"/>
        <v>0</v>
      </c>
      <c r="G143" s="313">
        <f t="shared" si="9"/>
        <v>0</v>
      </c>
      <c r="H143" s="313">
        <f t="shared" si="9"/>
        <v>0</v>
      </c>
      <c r="I143" s="313">
        <f t="shared" si="9"/>
        <v>0</v>
      </c>
      <c r="J143" s="313">
        <f t="shared" si="9"/>
        <v>0</v>
      </c>
      <c r="K143" s="322">
        <f t="shared" si="9"/>
        <v>0</v>
      </c>
      <c r="L143" s="313">
        <f t="shared" si="9"/>
        <v>0</v>
      </c>
      <c r="M143" s="313">
        <f t="shared" si="9"/>
        <v>0</v>
      </c>
      <c r="N143" s="313">
        <f t="shared" si="9"/>
        <v>0</v>
      </c>
      <c r="O143" s="313">
        <f t="shared" si="9"/>
        <v>0</v>
      </c>
      <c r="P143" s="313">
        <f t="shared" si="9"/>
        <v>0</v>
      </c>
      <c r="Q143" s="313">
        <f t="shared" si="9"/>
        <v>0</v>
      </c>
      <c r="R143" s="322">
        <f t="shared" si="9"/>
        <v>0</v>
      </c>
      <c r="S143" s="313">
        <f t="shared" si="9"/>
        <v>0</v>
      </c>
      <c r="T143" s="267">
        <f t="shared" si="9"/>
        <v>0</v>
      </c>
      <c r="U143" s="267">
        <f t="shared" si="9"/>
        <v>0</v>
      </c>
      <c r="V143" s="267">
        <f t="shared" si="9"/>
        <v>0</v>
      </c>
      <c r="W143" s="313">
        <f t="shared" si="9"/>
        <v>0</v>
      </c>
      <c r="X143" s="313">
        <f t="shared" si="9"/>
        <v>0</v>
      </c>
      <c r="Y143" s="313">
        <f t="shared" si="9"/>
        <v>0</v>
      </c>
      <c r="Z143" s="314">
        <f t="shared" si="9"/>
        <v>0</v>
      </c>
      <c r="AA143" s="313">
        <f t="shared" si="9"/>
        <v>0</v>
      </c>
      <c r="AB143" s="313">
        <f t="shared" si="9"/>
        <v>0</v>
      </c>
      <c r="AC143" s="328">
        <f t="shared" si="9"/>
        <v>0</v>
      </c>
      <c r="AD143" s="418">
        <v>415600</v>
      </c>
      <c r="AE143" s="520"/>
      <c r="AF143" s="310"/>
      <c r="AG143" s="115">
        <v>451573</v>
      </c>
    </row>
    <row r="144" spans="1:33" ht="8.25" customHeight="1" x14ac:dyDescent="0.15">
      <c r="B144" s="2"/>
      <c r="D144" s="12"/>
      <c r="E144" s="50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308"/>
      <c r="U144" s="308"/>
      <c r="V144" s="308"/>
      <c r="W144" s="56"/>
      <c r="X144" s="56"/>
      <c r="Y144" s="56"/>
      <c r="Z144" s="56"/>
      <c r="AA144" s="56"/>
      <c r="AB144" s="56"/>
      <c r="AC144" s="268"/>
      <c r="AD144" s="309"/>
      <c r="AG144" s="47"/>
    </row>
    <row r="145" spans="2:32" ht="12" customHeight="1" x14ac:dyDescent="0.15">
      <c r="B145" s="2"/>
      <c r="D145" s="12"/>
      <c r="E145" s="50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467" t="s">
        <v>151</v>
      </c>
      <c r="AA145" s="467"/>
      <c r="AB145" s="132" t="s">
        <v>152</v>
      </c>
      <c r="AC145" s="179"/>
      <c r="AD145" s="69" t="e">
        <f>#REF!+#REF!</f>
        <v>#REF!</v>
      </c>
      <c r="AE145" s="109" t="e">
        <f>#REF!+#REF!+#REF!</f>
        <v>#REF!</v>
      </c>
    </row>
    <row r="146" spans="2:32" ht="12" customHeight="1" x14ac:dyDescent="0.15">
      <c r="B146" s="2"/>
      <c r="D146" s="12"/>
      <c r="E146" s="50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132" t="s">
        <v>153</v>
      </c>
      <c r="AC146" s="179"/>
      <c r="AD146" s="70"/>
      <c r="AE146" s="109" t="e">
        <f>#REF!+#REF!+#REF!</f>
        <v>#REF!</v>
      </c>
    </row>
    <row r="147" spans="2:32" ht="12" customHeight="1" x14ac:dyDescent="0.15">
      <c r="B147" s="2"/>
      <c r="D147" s="12"/>
      <c r="E147" s="50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132" t="s">
        <v>154</v>
      </c>
      <c r="AC147" s="179"/>
      <c r="AD147" s="70"/>
      <c r="AE147" s="109" t="e">
        <f>#REF!+#REF!+#REF!</f>
        <v>#REF!</v>
      </c>
    </row>
    <row r="148" spans="2:32" ht="12" customHeight="1" x14ac:dyDescent="0.15">
      <c r="B148" s="2"/>
      <c r="D148" s="12"/>
      <c r="E148" s="50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132" t="s">
        <v>204</v>
      </c>
      <c r="AC148" s="179"/>
      <c r="AF148" s="110"/>
    </row>
    <row r="149" spans="2:32" ht="12" customHeight="1" x14ac:dyDescent="0.15">
      <c r="B149" s="2"/>
      <c r="D149" s="12"/>
      <c r="E149" s="50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132" t="s">
        <v>155</v>
      </c>
      <c r="AC149" s="179"/>
      <c r="AE149" s="110"/>
    </row>
    <row r="150" spans="2:32" ht="12" customHeight="1" x14ac:dyDescent="0.15">
      <c r="B150" s="2"/>
      <c r="D150" s="12"/>
      <c r="E150" s="50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468"/>
      <c r="AC150" s="468"/>
      <c r="AD150" s="468"/>
      <c r="AE150" s="109" t="e">
        <f>SUM(AE145:AE149)</f>
        <v>#REF!</v>
      </c>
    </row>
    <row r="151" spans="2:32" x14ac:dyDescent="0.15">
      <c r="B151" s="2"/>
      <c r="D151" s="12"/>
      <c r="E151" s="50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0"/>
      <c r="AD151" s="70"/>
      <c r="AE151" s="70"/>
    </row>
    <row r="152" spans="2:32" x14ac:dyDescent="0.15">
      <c r="B152" s="2"/>
      <c r="D152" s="12"/>
      <c r="E152" s="50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0"/>
      <c r="AD152" s="70"/>
      <c r="AE152" s="68" t="e">
        <f>AE71+#REF!+AE150</f>
        <v>#REF!</v>
      </c>
    </row>
    <row r="153" spans="2:32" x14ac:dyDescent="0.15">
      <c r="B153" s="2"/>
      <c r="D153" s="12"/>
      <c r="E153" s="50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0"/>
      <c r="AD153" s="59" t="s">
        <v>47</v>
      </c>
      <c r="AE153" s="60"/>
    </row>
  </sheetData>
  <mergeCells count="112">
    <mergeCell ref="AD82:AD86"/>
    <mergeCell ref="AE82:AE86"/>
    <mergeCell ref="B24:B28"/>
    <mergeCell ref="B140:C140"/>
    <mergeCell ref="B141:C141"/>
    <mergeCell ref="B95:B99"/>
    <mergeCell ref="C95:C99"/>
    <mergeCell ref="AD95:AD99"/>
    <mergeCell ref="AE95:AE99"/>
    <mergeCell ref="B115:AE115"/>
    <mergeCell ref="AD131:AD135"/>
    <mergeCell ref="AE139:AE143"/>
    <mergeCell ref="C108:C112"/>
    <mergeCell ref="AC101:AC107"/>
    <mergeCell ref="AE101:AE107"/>
    <mergeCell ref="AE130:AE135"/>
    <mergeCell ref="C75:C81"/>
    <mergeCell ref="AD88:AD94"/>
    <mergeCell ref="AD75:AD81"/>
    <mergeCell ref="AE75:AE81"/>
    <mergeCell ref="AE88:AE94"/>
    <mergeCell ref="D90:D92"/>
    <mergeCell ref="C88:C94"/>
    <mergeCell ref="AC88:AC94"/>
    <mergeCell ref="C24:C28"/>
    <mergeCell ref="C37:C41"/>
    <mergeCell ref="AD37:AD41"/>
    <mergeCell ref="AE37:AE41"/>
    <mergeCell ref="B42:AE42"/>
    <mergeCell ref="B43:B49"/>
    <mergeCell ref="C43:C49"/>
    <mergeCell ref="D45:D47"/>
    <mergeCell ref="AC75:AC81"/>
    <mergeCell ref="AD24:AD28"/>
    <mergeCell ref="AE24:AE28"/>
    <mergeCell ref="AD43:AD49"/>
    <mergeCell ref="AE43:AE49"/>
    <mergeCell ref="AE56:AE61"/>
    <mergeCell ref="B82:B86"/>
    <mergeCell ref="C82:C86"/>
    <mergeCell ref="B1:D1"/>
    <mergeCell ref="T1:U1"/>
    <mergeCell ref="W1:Y1"/>
    <mergeCell ref="B3:AE3"/>
    <mergeCell ref="AB2:AE2"/>
    <mergeCell ref="D77:D79"/>
    <mergeCell ref="B74:AE74"/>
    <mergeCell ref="Q2:S2"/>
    <mergeCell ref="B4:B10"/>
    <mergeCell ref="C4:C10"/>
    <mergeCell ref="AC4:AC10"/>
    <mergeCell ref="AD4:AD10"/>
    <mergeCell ref="AE4:AE10"/>
    <mergeCell ref="D6:D8"/>
    <mergeCell ref="B11:B15"/>
    <mergeCell ref="C11:C15"/>
    <mergeCell ref="AD11:AD15"/>
    <mergeCell ref="AE11:AE15"/>
    <mergeCell ref="B17:B23"/>
    <mergeCell ref="C17:C23"/>
    <mergeCell ref="AC43:AC49"/>
    <mergeCell ref="B30:B36"/>
    <mergeCell ref="C30:C36"/>
    <mergeCell ref="F1:H1"/>
    <mergeCell ref="AG11:AG15"/>
    <mergeCell ref="Q73:S73"/>
    <mergeCell ref="B58:C58"/>
    <mergeCell ref="B59:C59"/>
    <mergeCell ref="S72:T72"/>
    <mergeCell ref="B72:D72"/>
    <mergeCell ref="B50:B54"/>
    <mergeCell ref="C50:C54"/>
    <mergeCell ref="AD50:AD54"/>
    <mergeCell ref="AE50:AE54"/>
    <mergeCell ref="AC17:AC23"/>
    <mergeCell ref="AD17:AD23"/>
    <mergeCell ref="AE17:AE23"/>
    <mergeCell ref="D19:D21"/>
    <mergeCell ref="E72:G72"/>
    <mergeCell ref="V72:X72"/>
    <mergeCell ref="Z72:AA72"/>
    <mergeCell ref="AB73:AE73"/>
    <mergeCell ref="AD57:AD61"/>
    <mergeCell ref="AC30:AC36"/>
    <mergeCell ref="AD30:AD36"/>
    <mergeCell ref="AE30:AE36"/>
    <mergeCell ref="D32:D34"/>
    <mergeCell ref="B37:B41"/>
    <mergeCell ref="Z145:AA145"/>
    <mergeCell ref="Z63:AA63"/>
    <mergeCell ref="AB150:AD150"/>
    <mergeCell ref="AD116:AD122"/>
    <mergeCell ref="AE116:AE122"/>
    <mergeCell ref="D118:D120"/>
    <mergeCell ref="C116:C122"/>
    <mergeCell ref="AC116:AC122"/>
    <mergeCell ref="AD101:AD107"/>
    <mergeCell ref="B132:C132"/>
    <mergeCell ref="B133:C133"/>
    <mergeCell ref="B123:B127"/>
    <mergeCell ref="C123:C127"/>
    <mergeCell ref="AD123:AD127"/>
    <mergeCell ref="AE123:AE127"/>
    <mergeCell ref="B101:B107"/>
    <mergeCell ref="C101:C107"/>
    <mergeCell ref="B116:B122"/>
    <mergeCell ref="AE108:AE112"/>
    <mergeCell ref="D103:D105"/>
    <mergeCell ref="AD108:AD112"/>
    <mergeCell ref="B108:B112"/>
    <mergeCell ref="B88:B94"/>
    <mergeCell ref="B75:B81"/>
  </mergeCells>
  <phoneticPr fontId="1"/>
  <pageMargins left="0.19685039370078741" right="0" top="0.39370078740157483" bottom="0" header="0.11811023622047245" footer="0.11811023622047245"/>
  <pageSetup paperSize="9" scale="4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G71"/>
  <sheetViews>
    <sheetView workbookViewId="0">
      <selection activeCell="E7" sqref="E7"/>
    </sheetView>
  </sheetViews>
  <sheetFormatPr defaultRowHeight="13.5" x14ac:dyDescent="0.15"/>
  <cols>
    <col min="1" max="1" width="2.875" customWidth="1"/>
    <col min="2" max="2" width="3.875" customWidth="1"/>
    <col min="3" max="3" width="11.25" customWidth="1"/>
    <col min="4" max="4" width="12.5" customWidth="1"/>
  </cols>
  <sheetData>
    <row r="1" spans="2:33" ht="14.25" x14ac:dyDescent="0.15">
      <c r="B1" s="525" t="s">
        <v>31</v>
      </c>
      <c r="C1" s="525"/>
      <c r="D1" s="526"/>
      <c r="E1" s="11"/>
      <c r="Q1" s="11"/>
      <c r="R1" s="11"/>
      <c r="S1" s="11"/>
      <c r="T1" s="527"/>
      <c r="U1" s="526"/>
      <c r="V1" s="39"/>
      <c r="W1" s="528"/>
      <c r="X1" s="529"/>
      <c r="Y1" s="529"/>
      <c r="Z1" s="39"/>
      <c r="AA1" s="528"/>
      <c r="AB1" s="529"/>
      <c r="AC1" s="529"/>
      <c r="AE1" s="11"/>
      <c r="AF1" s="11"/>
      <c r="AG1" s="11"/>
    </row>
    <row r="2" spans="2:33" x14ac:dyDescent="0.15">
      <c r="B2" s="12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2:33" x14ac:dyDescent="0.15">
      <c r="B3" s="507" t="s">
        <v>19</v>
      </c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9"/>
    </row>
    <row r="4" spans="2:33" x14ac:dyDescent="0.15">
      <c r="B4" s="489"/>
      <c r="C4" s="489" t="s">
        <v>23</v>
      </c>
      <c r="D4" s="41" t="s">
        <v>32</v>
      </c>
      <c r="E4" s="1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14">
        <v>7</v>
      </c>
      <c r="L4" s="14">
        <v>8</v>
      </c>
      <c r="M4" s="14">
        <v>9</v>
      </c>
      <c r="N4" s="14">
        <v>10</v>
      </c>
      <c r="O4" s="14">
        <v>11</v>
      </c>
      <c r="P4" s="14">
        <v>12</v>
      </c>
      <c r="Q4" s="14">
        <v>13</v>
      </c>
      <c r="R4" s="14">
        <v>14</v>
      </c>
      <c r="S4" s="14">
        <v>15</v>
      </c>
      <c r="T4" s="14">
        <v>16</v>
      </c>
      <c r="U4" s="14">
        <v>17</v>
      </c>
      <c r="V4" s="14">
        <v>18</v>
      </c>
      <c r="W4" s="14">
        <v>19</v>
      </c>
      <c r="X4" s="14">
        <v>20</v>
      </c>
      <c r="Y4" s="14">
        <v>21</v>
      </c>
      <c r="Z4" s="14">
        <v>22</v>
      </c>
      <c r="AA4" s="14">
        <v>23</v>
      </c>
      <c r="AB4" s="14">
        <v>24</v>
      </c>
      <c r="AC4" s="14">
        <v>25</v>
      </c>
      <c r="AD4" s="14">
        <v>26</v>
      </c>
      <c r="AE4" s="500" t="s">
        <v>22</v>
      </c>
      <c r="AF4" s="500" t="s">
        <v>21</v>
      </c>
      <c r="AG4" s="500" t="s">
        <v>20</v>
      </c>
    </row>
    <row r="5" spans="2:33" x14ac:dyDescent="0.15">
      <c r="B5" s="490"/>
      <c r="C5" s="490"/>
      <c r="D5" s="40" t="s">
        <v>25</v>
      </c>
      <c r="E5" s="2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501"/>
      <c r="AF5" s="501"/>
      <c r="AG5" s="501"/>
    </row>
    <row r="6" spans="2:33" x14ac:dyDescent="0.15">
      <c r="B6" s="490"/>
      <c r="C6" s="490"/>
      <c r="D6" s="510" t="s">
        <v>24</v>
      </c>
      <c r="E6" s="24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501"/>
      <c r="AF6" s="501"/>
      <c r="AG6" s="501"/>
    </row>
    <row r="7" spans="2:33" x14ac:dyDescent="0.15">
      <c r="B7" s="490"/>
      <c r="C7" s="490"/>
      <c r="D7" s="490"/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20" t="s">
        <v>4</v>
      </c>
      <c r="V7" s="20" t="s">
        <v>4</v>
      </c>
      <c r="W7" s="20" t="s">
        <v>4</v>
      </c>
      <c r="X7" s="20" t="s">
        <v>4</v>
      </c>
      <c r="Y7" s="20" t="s">
        <v>4</v>
      </c>
      <c r="Z7" s="20" t="s">
        <v>4</v>
      </c>
      <c r="AA7" s="20" t="s">
        <v>4</v>
      </c>
      <c r="AB7" s="20" t="s">
        <v>4</v>
      </c>
      <c r="AC7" s="20" t="s">
        <v>4</v>
      </c>
      <c r="AD7" s="20" t="s">
        <v>4</v>
      </c>
      <c r="AE7" s="501"/>
      <c r="AF7" s="501"/>
      <c r="AG7" s="501"/>
    </row>
    <row r="8" spans="2:33" x14ac:dyDescent="0.15">
      <c r="B8" s="490"/>
      <c r="C8" s="490"/>
      <c r="D8" s="511"/>
      <c r="E8" s="25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501"/>
      <c r="AF8" s="501"/>
      <c r="AG8" s="501"/>
    </row>
    <row r="9" spans="2:33" x14ac:dyDescent="0.15">
      <c r="B9" s="490"/>
      <c r="C9" s="490"/>
      <c r="D9" s="9" t="s">
        <v>5</v>
      </c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501"/>
      <c r="AF9" s="501"/>
      <c r="AG9" s="501"/>
    </row>
    <row r="10" spans="2:33" ht="49.5" x14ac:dyDescent="0.15">
      <c r="B10" s="491"/>
      <c r="C10" s="524"/>
      <c r="D10" s="26" t="s">
        <v>15</v>
      </c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02"/>
      <c r="AF10" s="502"/>
      <c r="AG10" s="502"/>
    </row>
    <row r="11" spans="2:33" x14ac:dyDescent="0.15">
      <c r="B11" s="499">
        <v>1</v>
      </c>
      <c r="C11" s="530" t="s">
        <v>33</v>
      </c>
      <c r="D11" s="42" t="s">
        <v>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>
        <f>SUM(E11:AD11)</f>
        <v>0</v>
      </c>
      <c r="AF11" s="532">
        <f>AE11+AE12+AE13+AE14+AE15</f>
        <v>0</v>
      </c>
      <c r="AG11" s="532"/>
    </row>
    <row r="12" spans="2:33" x14ac:dyDescent="0.15">
      <c r="B12" s="499"/>
      <c r="C12" s="530"/>
      <c r="D12" s="31" t="s">
        <v>29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>
        <f>SUM(E12:AD12)</f>
        <v>0</v>
      </c>
      <c r="AF12" s="533"/>
      <c r="AG12" s="533"/>
    </row>
    <row r="13" spans="2:33" x14ac:dyDescent="0.15">
      <c r="B13" s="499"/>
      <c r="C13" s="530"/>
      <c r="D13" s="43" t="s">
        <v>35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32">
        <f>SUM(E13:AD13)</f>
        <v>0</v>
      </c>
      <c r="AF13" s="533"/>
      <c r="AG13" s="533"/>
    </row>
    <row r="14" spans="2:33" x14ac:dyDescent="0.15">
      <c r="B14" s="499"/>
      <c r="C14" s="530"/>
      <c r="D14" s="43" t="s">
        <v>36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32">
        <f>SUM(E14:AD14)</f>
        <v>0</v>
      </c>
      <c r="AF14" s="533"/>
      <c r="AG14" s="533"/>
    </row>
    <row r="15" spans="2:33" x14ac:dyDescent="0.15">
      <c r="B15" s="488"/>
      <c r="C15" s="531"/>
      <c r="D15" s="30" t="s">
        <v>27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>
        <f>SUM(E15:AD15)</f>
        <v>0</v>
      </c>
      <c r="AF15" s="524"/>
      <c r="AG15" s="524"/>
    </row>
    <row r="16" spans="2:33" x14ac:dyDescent="0.15">
      <c r="B16" s="499">
        <v>2</v>
      </c>
      <c r="C16" s="530" t="s">
        <v>34</v>
      </c>
      <c r="D16" s="42" t="s">
        <v>26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>
        <f t="shared" ref="AE16:AE65" si="0">SUM(E16:AD16)</f>
        <v>0</v>
      </c>
      <c r="AF16" s="532">
        <f>AE16+AE17+AE18+AE19+AE20</f>
        <v>0</v>
      </c>
      <c r="AG16" s="532"/>
    </row>
    <row r="17" spans="2:33" x14ac:dyDescent="0.15">
      <c r="B17" s="499"/>
      <c r="C17" s="530"/>
      <c r="D17" s="31" t="s">
        <v>29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>
        <f t="shared" si="0"/>
        <v>0</v>
      </c>
      <c r="AF17" s="533"/>
      <c r="AG17" s="533"/>
    </row>
    <row r="18" spans="2:33" x14ac:dyDescent="0.15">
      <c r="B18" s="499"/>
      <c r="C18" s="530"/>
      <c r="D18" s="43" t="s">
        <v>35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32">
        <f>SUM(E18:AD18)</f>
        <v>0</v>
      </c>
      <c r="AF18" s="533"/>
      <c r="AG18" s="533"/>
    </row>
    <row r="19" spans="2:33" x14ac:dyDescent="0.15">
      <c r="B19" s="499"/>
      <c r="C19" s="530"/>
      <c r="D19" s="43" t="s">
        <v>36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44"/>
      <c r="AC19" s="44"/>
      <c r="AD19" s="32"/>
      <c r="AE19" s="32">
        <f>SUM(E19:AD19)</f>
        <v>0</v>
      </c>
      <c r="AF19" s="533"/>
      <c r="AG19" s="533"/>
    </row>
    <row r="20" spans="2:33" x14ac:dyDescent="0.15">
      <c r="B20" s="488"/>
      <c r="C20" s="531"/>
      <c r="D20" s="30" t="s">
        <v>27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7"/>
      <c r="AC20" s="17"/>
      <c r="AD20" s="18"/>
      <c r="AE20" s="17">
        <f t="shared" si="0"/>
        <v>0</v>
      </c>
      <c r="AF20" s="524"/>
      <c r="AG20" s="524"/>
    </row>
    <row r="21" spans="2:33" x14ac:dyDescent="0.15">
      <c r="B21" s="499">
        <v>3</v>
      </c>
      <c r="C21" s="530"/>
      <c r="D21" s="42" t="s">
        <v>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>
        <f t="shared" si="0"/>
        <v>0</v>
      </c>
      <c r="AF21" s="532">
        <f>AE21+AE22+AE23+AE24+AE25</f>
        <v>0</v>
      </c>
      <c r="AG21" s="532"/>
    </row>
    <row r="22" spans="2:33" x14ac:dyDescent="0.15">
      <c r="B22" s="499"/>
      <c r="C22" s="530"/>
      <c r="D22" s="31" t="s">
        <v>29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>
        <f t="shared" si="0"/>
        <v>0</v>
      </c>
      <c r="AF22" s="533"/>
      <c r="AG22" s="533"/>
    </row>
    <row r="23" spans="2:33" x14ac:dyDescent="0.15">
      <c r="B23" s="499"/>
      <c r="C23" s="530"/>
      <c r="D23" s="43" t="s">
        <v>35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32">
        <f>SUM(E23:AD23)</f>
        <v>0</v>
      </c>
      <c r="AF23" s="533"/>
      <c r="AG23" s="533"/>
    </row>
    <row r="24" spans="2:33" x14ac:dyDescent="0.15">
      <c r="B24" s="499"/>
      <c r="C24" s="530"/>
      <c r="D24" s="43" t="s">
        <v>36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32">
        <f>SUM(E24:AD24)</f>
        <v>0</v>
      </c>
      <c r="AF24" s="533"/>
      <c r="AG24" s="533"/>
    </row>
    <row r="25" spans="2:33" x14ac:dyDescent="0.15">
      <c r="B25" s="488"/>
      <c r="C25" s="531"/>
      <c r="D25" s="30" t="s">
        <v>27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>
        <f t="shared" si="0"/>
        <v>0</v>
      </c>
      <c r="AF25" s="524"/>
      <c r="AG25" s="524"/>
    </row>
    <row r="26" spans="2:33" x14ac:dyDescent="0.15">
      <c r="B26" s="499">
        <v>4</v>
      </c>
      <c r="C26" s="530"/>
      <c r="D26" s="42" t="s">
        <v>26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>
        <f t="shared" si="0"/>
        <v>0</v>
      </c>
      <c r="AF26" s="532">
        <f>AE26+AE27+AE28+AE29+AE30</f>
        <v>0</v>
      </c>
      <c r="AG26" s="532"/>
    </row>
    <row r="27" spans="2:33" x14ac:dyDescent="0.15">
      <c r="B27" s="499"/>
      <c r="C27" s="530"/>
      <c r="D27" s="31" t="s">
        <v>29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>
        <f t="shared" si="0"/>
        <v>0</v>
      </c>
      <c r="AF27" s="533"/>
      <c r="AG27" s="533"/>
    </row>
    <row r="28" spans="2:33" x14ac:dyDescent="0.15">
      <c r="B28" s="499"/>
      <c r="C28" s="530"/>
      <c r="D28" s="43" t="s">
        <v>35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32">
        <f>SUM(E28:AD28)</f>
        <v>0</v>
      </c>
      <c r="AF28" s="533"/>
      <c r="AG28" s="533"/>
    </row>
    <row r="29" spans="2:33" x14ac:dyDescent="0.15">
      <c r="B29" s="499"/>
      <c r="C29" s="530"/>
      <c r="D29" s="43" t="s">
        <v>36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44"/>
      <c r="X29" s="32"/>
      <c r="Y29" s="32"/>
      <c r="Z29" s="32"/>
      <c r="AA29" s="32"/>
      <c r="AB29" s="32"/>
      <c r="AC29" s="32"/>
      <c r="AD29" s="32"/>
      <c r="AE29" s="32">
        <f>SUM(E29:AD29)</f>
        <v>0</v>
      </c>
      <c r="AF29" s="533"/>
      <c r="AG29" s="533"/>
    </row>
    <row r="30" spans="2:33" x14ac:dyDescent="0.15">
      <c r="B30" s="488"/>
      <c r="C30" s="531"/>
      <c r="D30" s="30" t="s">
        <v>27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7"/>
      <c r="X30" s="18"/>
      <c r="Y30" s="18"/>
      <c r="Z30" s="18"/>
      <c r="AA30" s="18"/>
      <c r="AB30" s="18"/>
      <c r="AC30" s="18"/>
      <c r="AD30" s="18"/>
      <c r="AE30" s="17">
        <f t="shared" si="0"/>
        <v>0</v>
      </c>
      <c r="AF30" s="524"/>
      <c r="AG30" s="524"/>
    </row>
    <row r="31" spans="2:33" x14ac:dyDescent="0.15">
      <c r="B31" s="499">
        <v>5</v>
      </c>
      <c r="C31" s="530"/>
      <c r="D31" s="42" t="s">
        <v>26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>
        <f t="shared" si="0"/>
        <v>0</v>
      </c>
      <c r="AF31" s="532">
        <f>AE31+AE32+AE33+AE34+AE35</f>
        <v>0</v>
      </c>
      <c r="AG31" s="532"/>
    </row>
    <row r="32" spans="2:33" x14ac:dyDescent="0.15">
      <c r="B32" s="499"/>
      <c r="C32" s="530"/>
      <c r="D32" s="31" t="s">
        <v>29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>
        <f t="shared" si="0"/>
        <v>0</v>
      </c>
      <c r="AF32" s="533"/>
      <c r="AG32" s="533"/>
    </row>
    <row r="33" spans="2:33" x14ac:dyDescent="0.15">
      <c r="B33" s="499"/>
      <c r="C33" s="530"/>
      <c r="D33" s="43" t="s">
        <v>35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32">
        <f>SUM(E33:AD33)</f>
        <v>0</v>
      </c>
      <c r="AF33" s="533"/>
      <c r="AG33" s="533"/>
    </row>
    <row r="34" spans="2:33" x14ac:dyDescent="0.15">
      <c r="B34" s="499"/>
      <c r="C34" s="530"/>
      <c r="D34" s="43" t="s">
        <v>36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32">
        <f>SUM(E34:AD34)</f>
        <v>0</v>
      </c>
      <c r="AF34" s="533"/>
      <c r="AG34" s="533"/>
    </row>
    <row r="35" spans="2:33" x14ac:dyDescent="0.15">
      <c r="B35" s="488"/>
      <c r="C35" s="531"/>
      <c r="D35" s="30" t="s">
        <v>27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>
        <f t="shared" si="0"/>
        <v>0</v>
      </c>
      <c r="AF35" s="524"/>
      <c r="AG35" s="524"/>
    </row>
    <row r="36" spans="2:33" x14ac:dyDescent="0.15">
      <c r="B36" s="499">
        <v>6</v>
      </c>
      <c r="C36" s="530"/>
      <c r="D36" s="42" t="s">
        <v>26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>
        <f t="shared" si="0"/>
        <v>0</v>
      </c>
      <c r="AF36" s="532">
        <f>AE36+AE37+AE38+AE39+AE40</f>
        <v>0</v>
      </c>
      <c r="AG36" s="532"/>
    </row>
    <row r="37" spans="2:33" x14ac:dyDescent="0.15">
      <c r="B37" s="499"/>
      <c r="C37" s="530"/>
      <c r="D37" s="31" t="s">
        <v>29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>
        <f t="shared" si="0"/>
        <v>0</v>
      </c>
      <c r="AF37" s="533"/>
      <c r="AG37" s="533"/>
    </row>
    <row r="38" spans="2:33" x14ac:dyDescent="0.15">
      <c r="B38" s="499"/>
      <c r="C38" s="530"/>
      <c r="D38" s="43" t="s">
        <v>35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32">
        <f>SUM(E38:AD38)</f>
        <v>0</v>
      </c>
      <c r="AF38" s="533"/>
      <c r="AG38" s="533"/>
    </row>
    <row r="39" spans="2:33" x14ac:dyDescent="0.15">
      <c r="B39" s="499"/>
      <c r="C39" s="530"/>
      <c r="D39" s="43" t="s">
        <v>36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44"/>
      <c r="AE39" s="32">
        <f>SUM(E39:AD39)</f>
        <v>0</v>
      </c>
      <c r="AF39" s="533"/>
      <c r="AG39" s="533"/>
    </row>
    <row r="40" spans="2:33" x14ac:dyDescent="0.15">
      <c r="B40" s="488"/>
      <c r="C40" s="531"/>
      <c r="D40" s="30" t="s">
        <v>27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7"/>
      <c r="AE40" s="17">
        <f t="shared" si="0"/>
        <v>0</v>
      </c>
      <c r="AF40" s="524"/>
      <c r="AG40" s="524"/>
    </row>
    <row r="41" spans="2:33" x14ac:dyDescent="0.15">
      <c r="B41" s="499">
        <v>7</v>
      </c>
      <c r="C41" s="530"/>
      <c r="D41" s="42" t="s">
        <v>26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>
        <f t="shared" si="0"/>
        <v>0</v>
      </c>
      <c r="AF41" s="532">
        <f>AE41+AE42+AE43+AE44+AE45</f>
        <v>0</v>
      </c>
      <c r="AG41" s="532"/>
    </row>
    <row r="42" spans="2:33" x14ac:dyDescent="0.15">
      <c r="B42" s="499"/>
      <c r="C42" s="530"/>
      <c r="D42" s="31" t="s">
        <v>29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>
        <f t="shared" si="0"/>
        <v>0</v>
      </c>
      <c r="AF42" s="533"/>
      <c r="AG42" s="533"/>
    </row>
    <row r="43" spans="2:33" x14ac:dyDescent="0.15">
      <c r="B43" s="499"/>
      <c r="C43" s="530"/>
      <c r="D43" s="43" t="s">
        <v>35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32">
        <f>SUM(E43:AD43)</f>
        <v>0</v>
      </c>
      <c r="AF43" s="533"/>
      <c r="AG43" s="533"/>
    </row>
    <row r="44" spans="2:33" x14ac:dyDescent="0.15">
      <c r="B44" s="499"/>
      <c r="C44" s="530"/>
      <c r="D44" s="43" t="s">
        <v>36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32">
        <f>SUM(E44:AD44)</f>
        <v>0</v>
      </c>
      <c r="AF44" s="533"/>
      <c r="AG44" s="533"/>
    </row>
    <row r="45" spans="2:33" x14ac:dyDescent="0.15">
      <c r="B45" s="488"/>
      <c r="C45" s="531"/>
      <c r="D45" s="30" t="s">
        <v>27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>
        <f t="shared" si="0"/>
        <v>0</v>
      </c>
      <c r="AF45" s="524"/>
      <c r="AG45" s="524"/>
    </row>
    <row r="46" spans="2:33" x14ac:dyDescent="0.15">
      <c r="B46" s="499">
        <v>8</v>
      </c>
      <c r="C46" s="530"/>
      <c r="D46" s="42" t="s">
        <v>26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16">
        <f t="shared" si="0"/>
        <v>0</v>
      </c>
      <c r="AF46" s="532">
        <f>AE46+AE47+AE48+AE49+AE50</f>
        <v>0</v>
      </c>
      <c r="AG46" s="532"/>
    </row>
    <row r="47" spans="2:33" x14ac:dyDescent="0.15">
      <c r="B47" s="499"/>
      <c r="C47" s="530"/>
      <c r="D47" s="31" t="s">
        <v>29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2">
        <f t="shared" si="0"/>
        <v>0</v>
      </c>
      <c r="AF47" s="533"/>
      <c r="AG47" s="533"/>
    </row>
    <row r="48" spans="2:33" x14ac:dyDescent="0.15">
      <c r="B48" s="499"/>
      <c r="C48" s="530"/>
      <c r="D48" s="43" t="s">
        <v>35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32">
        <f>SUM(E48:AD48)</f>
        <v>0</v>
      </c>
      <c r="AF48" s="533"/>
      <c r="AG48" s="533"/>
    </row>
    <row r="49" spans="2:33" x14ac:dyDescent="0.15">
      <c r="B49" s="499"/>
      <c r="C49" s="530"/>
      <c r="D49" s="43" t="s">
        <v>36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>
        <f>SUM(E49:AD49)</f>
        <v>0</v>
      </c>
      <c r="AF49" s="533"/>
      <c r="AG49" s="533"/>
    </row>
    <row r="50" spans="2:33" x14ac:dyDescent="0.15">
      <c r="B50" s="488"/>
      <c r="C50" s="531"/>
      <c r="D50" s="30" t="s">
        <v>27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7">
        <f t="shared" si="0"/>
        <v>0</v>
      </c>
      <c r="AF50" s="524"/>
      <c r="AG50" s="524"/>
    </row>
    <row r="51" spans="2:33" x14ac:dyDescent="0.15">
      <c r="B51" s="499">
        <v>9</v>
      </c>
      <c r="C51" s="530"/>
      <c r="D51" s="42" t="s">
        <v>26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>
        <f t="shared" si="0"/>
        <v>0</v>
      </c>
      <c r="AF51" s="532">
        <f>AE51+AE52+AE53+AE54+AE55</f>
        <v>0</v>
      </c>
      <c r="AG51" s="532"/>
    </row>
    <row r="52" spans="2:33" x14ac:dyDescent="0.15">
      <c r="B52" s="499"/>
      <c r="C52" s="530"/>
      <c r="D52" s="31" t="s">
        <v>29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>
        <f t="shared" si="0"/>
        <v>0</v>
      </c>
      <c r="AF52" s="533"/>
      <c r="AG52" s="533"/>
    </row>
    <row r="53" spans="2:33" x14ac:dyDescent="0.15">
      <c r="B53" s="499"/>
      <c r="C53" s="530"/>
      <c r="D53" s="43" t="s">
        <v>35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32">
        <f>SUM(E53:AD53)</f>
        <v>0</v>
      </c>
      <c r="AF53" s="533"/>
      <c r="AG53" s="533"/>
    </row>
    <row r="54" spans="2:33" x14ac:dyDescent="0.15">
      <c r="B54" s="499"/>
      <c r="C54" s="530"/>
      <c r="D54" s="43" t="s">
        <v>36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32">
        <f>SUM(E54:AD54)</f>
        <v>0</v>
      </c>
      <c r="AF54" s="533"/>
      <c r="AG54" s="533"/>
    </row>
    <row r="55" spans="2:33" x14ac:dyDescent="0.15">
      <c r="B55" s="488"/>
      <c r="C55" s="531"/>
      <c r="D55" s="30" t="s">
        <v>27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>
        <f t="shared" si="0"/>
        <v>0</v>
      </c>
      <c r="AF55" s="524"/>
      <c r="AG55" s="524"/>
    </row>
    <row r="56" spans="2:33" x14ac:dyDescent="0.15">
      <c r="B56" s="499">
        <v>10</v>
      </c>
      <c r="C56" s="530"/>
      <c r="D56" s="42" t="s">
        <v>26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>
        <f t="shared" si="0"/>
        <v>0</v>
      </c>
      <c r="AF56" s="532">
        <f>AE56+AE57+AE58+AE59+AE60</f>
        <v>0</v>
      </c>
      <c r="AG56" s="532"/>
    </row>
    <row r="57" spans="2:33" x14ac:dyDescent="0.15">
      <c r="B57" s="499"/>
      <c r="C57" s="530"/>
      <c r="D57" s="31" t="s">
        <v>29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>
        <f t="shared" si="0"/>
        <v>0</v>
      </c>
      <c r="AF57" s="533"/>
      <c r="AG57" s="533"/>
    </row>
    <row r="58" spans="2:33" x14ac:dyDescent="0.15">
      <c r="B58" s="499"/>
      <c r="C58" s="530"/>
      <c r="D58" s="43" t="s">
        <v>35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32">
        <f>SUM(E58:AD58)</f>
        <v>0</v>
      </c>
      <c r="AF58" s="533"/>
      <c r="AG58" s="533"/>
    </row>
    <row r="59" spans="2:33" x14ac:dyDescent="0.15">
      <c r="B59" s="499"/>
      <c r="C59" s="530"/>
      <c r="D59" s="43" t="s">
        <v>36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32">
        <f>SUM(E59:AD59)</f>
        <v>0</v>
      </c>
      <c r="AF59" s="533"/>
      <c r="AG59" s="533"/>
    </row>
    <row r="60" spans="2:33" x14ac:dyDescent="0.15">
      <c r="B60" s="488"/>
      <c r="C60" s="531"/>
      <c r="D60" s="30" t="s">
        <v>27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>
        <f t="shared" si="0"/>
        <v>0</v>
      </c>
      <c r="AF60" s="524"/>
      <c r="AG60" s="524"/>
    </row>
    <row r="61" spans="2:33" x14ac:dyDescent="0.15">
      <c r="B61" s="499">
        <v>11</v>
      </c>
      <c r="C61" s="530"/>
      <c r="D61" s="42" t="s">
        <v>26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>
        <f t="shared" si="0"/>
        <v>0</v>
      </c>
      <c r="AF61" s="532">
        <f>AE61+AE62+AE63+AE64+AE65</f>
        <v>0</v>
      </c>
      <c r="AG61" s="532"/>
    </row>
    <row r="62" spans="2:33" x14ac:dyDescent="0.15">
      <c r="B62" s="499"/>
      <c r="C62" s="530"/>
      <c r="D62" s="31" t="s">
        <v>29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>
        <f t="shared" si="0"/>
        <v>0</v>
      </c>
      <c r="AF62" s="533"/>
      <c r="AG62" s="533"/>
    </row>
    <row r="63" spans="2:33" x14ac:dyDescent="0.15">
      <c r="B63" s="499"/>
      <c r="C63" s="530"/>
      <c r="D63" s="43" t="s">
        <v>35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32">
        <f>SUM(E63:AD63)</f>
        <v>0</v>
      </c>
      <c r="AF63" s="533"/>
      <c r="AG63" s="533"/>
    </row>
    <row r="64" spans="2:33" x14ac:dyDescent="0.15">
      <c r="B64" s="499"/>
      <c r="C64" s="530"/>
      <c r="D64" s="43" t="s">
        <v>36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44"/>
      <c r="AE64" s="32">
        <f>SUM(E64:AD64)</f>
        <v>0</v>
      </c>
      <c r="AF64" s="533"/>
      <c r="AG64" s="533"/>
    </row>
    <row r="65" spans="2:33" x14ac:dyDescent="0.15">
      <c r="B65" s="488"/>
      <c r="C65" s="531"/>
      <c r="D65" s="30" t="s">
        <v>27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7"/>
      <c r="AE65" s="17">
        <f t="shared" si="0"/>
        <v>0</v>
      </c>
      <c r="AF65" s="524"/>
      <c r="AG65" s="524"/>
    </row>
    <row r="66" spans="2:33" x14ac:dyDescent="0.15">
      <c r="B66" s="534" t="s">
        <v>28</v>
      </c>
      <c r="C66" s="535"/>
      <c r="D66" s="53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3" x14ac:dyDescent="0.15">
      <c r="B67" s="2"/>
    </row>
    <row r="68" spans="2:33" x14ac:dyDescent="0.15">
      <c r="B68" s="2"/>
      <c r="AD68" t="s">
        <v>37</v>
      </c>
    </row>
    <row r="69" spans="2:33" x14ac:dyDescent="0.15">
      <c r="B69" s="2"/>
      <c r="AD69" t="s">
        <v>38</v>
      </c>
    </row>
    <row r="70" spans="2:33" x14ac:dyDescent="0.15">
      <c r="B70" s="2"/>
      <c r="AD70" t="s">
        <v>39</v>
      </c>
    </row>
    <row r="71" spans="2:33" x14ac:dyDescent="0.15">
      <c r="B71" s="2"/>
      <c r="AD71" s="467" t="s">
        <v>40</v>
      </c>
      <c r="AE71" s="467"/>
      <c r="AF71" s="467"/>
      <c r="AG71" s="467"/>
    </row>
  </sheetData>
  <mergeCells count="57">
    <mergeCell ref="B41:B45"/>
    <mergeCell ref="C41:C45"/>
    <mergeCell ref="AF41:AF45"/>
    <mergeCell ref="AG41:AG45"/>
    <mergeCell ref="B46:B50"/>
    <mergeCell ref="C46:C50"/>
    <mergeCell ref="AF46:AF50"/>
    <mergeCell ref="AG46:AG50"/>
    <mergeCell ref="AD71:AG71"/>
    <mergeCell ref="B51:B55"/>
    <mergeCell ref="C51:C55"/>
    <mergeCell ref="AF51:AF55"/>
    <mergeCell ref="AG51:AG55"/>
    <mergeCell ref="B56:B60"/>
    <mergeCell ref="C56:C60"/>
    <mergeCell ref="AF56:AF60"/>
    <mergeCell ref="AG56:AG60"/>
    <mergeCell ref="B61:B65"/>
    <mergeCell ref="C61:C65"/>
    <mergeCell ref="AF61:AF65"/>
    <mergeCell ref="AG61:AG65"/>
    <mergeCell ref="B66:D66"/>
    <mergeCell ref="B26:B30"/>
    <mergeCell ref="C26:C30"/>
    <mergeCell ref="AF26:AF30"/>
    <mergeCell ref="AG26:AG30"/>
    <mergeCell ref="B31:B35"/>
    <mergeCell ref="C31:C35"/>
    <mergeCell ref="AF31:AF35"/>
    <mergeCell ref="AG31:AG35"/>
    <mergeCell ref="B36:B40"/>
    <mergeCell ref="C36:C40"/>
    <mergeCell ref="AF36:AF40"/>
    <mergeCell ref="AG36:AG40"/>
    <mergeCell ref="C11:C15"/>
    <mergeCell ref="AF11:AF15"/>
    <mergeCell ref="AG11:AG15"/>
    <mergeCell ref="B21:B25"/>
    <mergeCell ref="C21:C25"/>
    <mergeCell ref="AF21:AF25"/>
    <mergeCell ref="AG21:AG25"/>
    <mergeCell ref="B16:B20"/>
    <mergeCell ref="C16:C20"/>
    <mergeCell ref="AF16:AF20"/>
    <mergeCell ref="AG16:AG20"/>
    <mergeCell ref="B11:B15"/>
    <mergeCell ref="B1:D1"/>
    <mergeCell ref="T1:U1"/>
    <mergeCell ref="W1:Y1"/>
    <mergeCell ref="AA1:AC1"/>
    <mergeCell ref="B3:AG3"/>
    <mergeCell ref="B4:B10"/>
    <mergeCell ref="C4:C10"/>
    <mergeCell ref="AE4:AE10"/>
    <mergeCell ref="AF4:AF10"/>
    <mergeCell ref="AG4:AG10"/>
    <mergeCell ref="D6:D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B40"/>
  <sheetViews>
    <sheetView workbookViewId="0">
      <selection activeCell="W8" sqref="W8"/>
    </sheetView>
  </sheetViews>
  <sheetFormatPr defaultRowHeight="13.5" x14ac:dyDescent="0.15"/>
  <cols>
    <col min="1" max="2" width="4.125" customWidth="1"/>
    <col min="3" max="3" width="11.75" customWidth="1"/>
    <col min="24" max="24" width="8.125" customWidth="1"/>
    <col min="25" max="25" width="2.25" customWidth="1"/>
    <col min="26" max="26" width="11.5" customWidth="1"/>
    <col min="27" max="27" width="1.5" customWidth="1"/>
    <col min="28" max="28" width="12.5" customWidth="1"/>
    <col min="29" max="29" width="1.25" customWidth="1"/>
  </cols>
  <sheetData>
    <row r="1" spans="1:27" ht="21.75" customHeight="1" x14ac:dyDescent="0.15"/>
    <row r="2" spans="1:27" ht="28.5" customHeight="1" x14ac:dyDescent="0.15">
      <c r="A2" s="66"/>
      <c r="B2" s="66"/>
      <c r="C2" s="341"/>
      <c r="D2" s="503" t="s">
        <v>229</v>
      </c>
      <c r="E2" s="503"/>
      <c r="F2" s="503"/>
      <c r="G2" s="503" t="s">
        <v>230</v>
      </c>
      <c r="H2" s="503"/>
      <c r="I2" s="503"/>
      <c r="Q2" s="11"/>
      <c r="R2" s="11"/>
      <c r="S2" s="11"/>
      <c r="T2" s="96"/>
      <c r="U2" s="39"/>
      <c r="V2" s="528"/>
      <c r="W2" s="529"/>
      <c r="X2" s="39"/>
      <c r="Y2" s="528"/>
      <c r="Z2" s="528"/>
    </row>
    <row r="3" spans="1:27" ht="38.450000000000003" customHeight="1" x14ac:dyDescent="0.15">
      <c r="A3" s="66"/>
      <c r="B3" s="66"/>
      <c r="C3" s="12"/>
      <c r="D3" s="81" t="s">
        <v>276</v>
      </c>
      <c r="E3" s="73"/>
      <c r="F3" s="73"/>
      <c r="G3" s="73"/>
      <c r="H3" s="73"/>
      <c r="I3" s="73"/>
      <c r="J3" s="81"/>
      <c r="K3" s="568" t="s">
        <v>63</v>
      </c>
      <c r="L3" s="568"/>
      <c r="M3" s="568"/>
      <c r="N3" s="11"/>
      <c r="O3" s="556" t="s">
        <v>173</v>
      </c>
      <c r="P3" s="556"/>
      <c r="Q3" s="556"/>
      <c r="R3" s="11"/>
      <c r="S3" s="11"/>
      <c r="T3" s="11"/>
      <c r="U3" s="556" t="s">
        <v>280</v>
      </c>
      <c r="V3" s="571"/>
      <c r="W3" s="571"/>
      <c r="X3" s="11"/>
      <c r="Y3" s="11"/>
      <c r="Z3" s="11"/>
      <c r="AA3" s="82"/>
    </row>
    <row r="4" spans="1:27" ht="18" customHeight="1" x14ac:dyDescent="0.15">
      <c r="A4" s="207"/>
      <c r="B4" s="20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07"/>
      <c r="Z4" s="217"/>
    </row>
    <row r="5" spans="1:27" ht="18" customHeight="1" x14ac:dyDescent="0.15">
      <c r="A5" s="553"/>
      <c r="B5" s="547" t="s">
        <v>32</v>
      </c>
      <c r="C5" s="453"/>
      <c r="D5" s="162">
        <v>1</v>
      </c>
      <c r="E5" s="162">
        <v>2</v>
      </c>
      <c r="F5" s="162">
        <v>3</v>
      </c>
      <c r="G5" s="162">
        <v>4</v>
      </c>
      <c r="H5" s="162">
        <v>5</v>
      </c>
      <c r="I5" s="162">
        <v>6</v>
      </c>
      <c r="J5" s="162">
        <v>7</v>
      </c>
      <c r="K5" s="162">
        <v>8</v>
      </c>
      <c r="L5" s="162">
        <v>9</v>
      </c>
      <c r="M5" s="162">
        <v>10</v>
      </c>
      <c r="N5" s="162">
        <v>11</v>
      </c>
      <c r="O5" s="162">
        <v>12</v>
      </c>
      <c r="P5" s="162">
        <v>13</v>
      </c>
      <c r="Q5" s="162">
        <v>14</v>
      </c>
      <c r="R5" s="162">
        <v>15</v>
      </c>
      <c r="S5" s="162">
        <v>16</v>
      </c>
      <c r="T5" s="162">
        <v>17</v>
      </c>
      <c r="U5" s="162">
        <v>18</v>
      </c>
      <c r="V5" s="162">
        <v>19</v>
      </c>
      <c r="W5" s="162">
        <v>20</v>
      </c>
      <c r="X5" s="162"/>
      <c r="Y5" s="211"/>
      <c r="Z5" s="14" t="s">
        <v>28</v>
      </c>
    </row>
    <row r="6" spans="1:27" s="244" customFormat="1" ht="18" customHeight="1" x14ac:dyDescent="0.15">
      <c r="A6" s="553"/>
      <c r="B6" s="548" t="s">
        <v>25</v>
      </c>
      <c r="C6" s="549"/>
      <c r="D6" s="242" t="s">
        <v>126</v>
      </c>
      <c r="E6" s="242" t="s">
        <v>127</v>
      </c>
      <c r="F6" s="242" t="s">
        <v>128</v>
      </c>
      <c r="G6" s="242" t="s">
        <v>129</v>
      </c>
      <c r="H6" s="242" t="s">
        <v>130</v>
      </c>
      <c r="I6" s="242" t="s">
        <v>131</v>
      </c>
      <c r="J6" s="242" t="s">
        <v>132</v>
      </c>
      <c r="K6" s="242" t="s">
        <v>133</v>
      </c>
      <c r="L6" s="242" t="s">
        <v>134</v>
      </c>
      <c r="M6" s="242" t="s">
        <v>135</v>
      </c>
      <c r="N6" s="242" t="s">
        <v>136</v>
      </c>
      <c r="O6" s="242" t="s">
        <v>137</v>
      </c>
      <c r="P6" s="242" t="s">
        <v>138</v>
      </c>
      <c r="Q6" s="242" t="s">
        <v>139</v>
      </c>
      <c r="R6" s="242" t="s">
        <v>140</v>
      </c>
      <c r="S6" s="242" t="s">
        <v>219</v>
      </c>
      <c r="T6" s="242" t="s">
        <v>220</v>
      </c>
      <c r="U6" s="242" t="s">
        <v>221</v>
      </c>
      <c r="V6" s="242" t="s">
        <v>222</v>
      </c>
      <c r="W6" s="242" t="s">
        <v>292</v>
      </c>
      <c r="X6" s="242"/>
      <c r="Y6" s="334"/>
      <c r="Z6" s="537"/>
    </row>
    <row r="7" spans="1:27" ht="18" customHeight="1" x14ac:dyDescent="0.15">
      <c r="A7" s="553"/>
      <c r="B7" s="550" t="s">
        <v>24</v>
      </c>
      <c r="C7" s="551"/>
      <c r="D7" s="194">
        <v>0.33333333333333331</v>
      </c>
      <c r="E7" s="194">
        <v>0.33333333333333331</v>
      </c>
      <c r="F7" s="194">
        <v>0.29166666666666669</v>
      </c>
      <c r="G7" s="194">
        <v>0.33333333333333331</v>
      </c>
      <c r="H7" s="194">
        <v>0.29166666666666669</v>
      </c>
      <c r="I7" s="194">
        <v>0.29166666666666669</v>
      </c>
      <c r="J7" s="194">
        <v>0.375</v>
      </c>
      <c r="K7" s="194">
        <v>0.33333333333333331</v>
      </c>
      <c r="L7" s="194">
        <v>0.54166666666666663</v>
      </c>
      <c r="M7" s="194">
        <v>0.29166666666666669</v>
      </c>
      <c r="N7" s="194">
        <v>0.625</v>
      </c>
      <c r="O7" s="194">
        <v>0.33333333333333331</v>
      </c>
      <c r="P7" s="194">
        <v>0.58333333333333337</v>
      </c>
      <c r="Q7" s="194">
        <v>0.66666666666666663</v>
      </c>
      <c r="R7" s="194">
        <v>0.66666666666666663</v>
      </c>
      <c r="S7" s="194">
        <v>0.375</v>
      </c>
      <c r="T7" s="194">
        <v>0.33333333333333331</v>
      </c>
      <c r="U7" s="194">
        <v>0.625</v>
      </c>
      <c r="V7" s="194">
        <v>0.33333333333333331</v>
      </c>
      <c r="W7" s="194">
        <v>0.33333333333333331</v>
      </c>
      <c r="X7" s="194"/>
      <c r="Y7" s="335"/>
      <c r="Z7" s="538"/>
    </row>
    <row r="8" spans="1:27" ht="18" customHeight="1" x14ac:dyDescent="0.15">
      <c r="A8" s="553"/>
      <c r="B8" s="552"/>
      <c r="C8" s="553"/>
      <c r="D8" s="195" t="s">
        <v>4</v>
      </c>
      <c r="E8" s="195" t="s">
        <v>4</v>
      </c>
      <c r="F8" s="195" t="s">
        <v>4</v>
      </c>
      <c r="G8" s="195" t="s">
        <v>4</v>
      </c>
      <c r="H8" s="195" t="s">
        <v>4</v>
      </c>
      <c r="I8" s="195" t="s">
        <v>4</v>
      </c>
      <c r="J8" s="195" t="s">
        <v>4</v>
      </c>
      <c r="K8" s="195" t="s">
        <v>4</v>
      </c>
      <c r="L8" s="195" t="s">
        <v>4</v>
      </c>
      <c r="M8" s="195" t="s">
        <v>4</v>
      </c>
      <c r="N8" s="195" t="s">
        <v>4</v>
      </c>
      <c r="O8" s="195" t="s">
        <v>4</v>
      </c>
      <c r="P8" s="195" t="s">
        <v>4</v>
      </c>
      <c r="Q8" s="196" t="s">
        <v>4</v>
      </c>
      <c r="R8" s="196" t="s">
        <v>4</v>
      </c>
      <c r="S8" s="196" t="s">
        <v>4</v>
      </c>
      <c r="T8" s="196" t="s">
        <v>4</v>
      </c>
      <c r="U8" s="196" t="s">
        <v>4</v>
      </c>
      <c r="V8" s="196" t="s">
        <v>4</v>
      </c>
      <c r="W8" s="196" t="s">
        <v>4</v>
      </c>
      <c r="X8" s="195"/>
      <c r="Y8" s="195"/>
      <c r="Z8" s="538"/>
    </row>
    <row r="9" spans="1:27" ht="18" customHeight="1" x14ac:dyDescent="0.15">
      <c r="A9" s="553"/>
      <c r="B9" s="540"/>
      <c r="C9" s="541"/>
      <c r="D9" s="197">
        <v>0.41666666666666669</v>
      </c>
      <c r="E9" s="197">
        <v>0.45833333333333331</v>
      </c>
      <c r="F9" s="197">
        <v>0.41666666666666669</v>
      </c>
      <c r="G9" s="197">
        <v>0.41666666666666669</v>
      </c>
      <c r="H9" s="197">
        <v>0.375</v>
      </c>
      <c r="I9" s="197">
        <v>0.375</v>
      </c>
      <c r="J9" s="197">
        <v>0.45833333333333331</v>
      </c>
      <c r="K9" s="197">
        <v>0.41666666666666669</v>
      </c>
      <c r="L9" s="197">
        <v>0.625</v>
      </c>
      <c r="M9" s="197">
        <v>0.375</v>
      </c>
      <c r="N9" s="197">
        <v>0.70833333333333337</v>
      </c>
      <c r="O9" s="197">
        <v>0.41666666666666669</v>
      </c>
      <c r="P9" s="197">
        <v>0.66666666666666663</v>
      </c>
      <c r="Q9" s="197">
        <v>0.75</v>
      </c>
      <c r="R9" s="197">
        <v>0.75</v>
      </c>
      <c r="S9" s="197">
        <v>0.41666666666666669</v>
      </c>
      <c r="T9" s="197">
        <v>0.41666666666666669</v>
      </c>
      <c r="U9" s="197">
        <v>0.75</v>
      </c>
      <c r="V9" s="197">
        <v>0.41666666666666669</v>
      </c>
      <c r="W9" s="197">
        <v>0.41666666666666669</v>
      </c>
      <c r="X9" s="197"/>
      <c r="Y9" s="336"/>
      <c r="Z9" s="539"/>
    </row>
    <row r="10" spans="1:27" s="2" customFormat="1" ht="18" customHeight="1" x14ac:dyDescent="0.15">
      <c r="A10" s="553"/>
      <c r="B10" s="545" t="s">
        <v>5</v>
      </c>
      <c r="C10" s="546"/>
      <c r="D10" s="199">
        <v>2</v>
      </c>
      <c r="E10" s="199">
        <v>3</v>
      </c>
      <c r="F10" s="199">
        <v>3</v>
      </c>
      <c r="G10" s="199">
        <v>2</v>
      </c>
      <c r="H10" s="199">
        <v>2</v>
      </c>
      <c r="I10" s="199">
        <v>2</v>
      </c>
      <c r="J10" s="199">
        <v>2</v>
      </c>
      <c r="K10" s="199">
        <v>2</v>
      </c>
      <c r="L10" s="199">
        <v>2</v>
      </c>
      <c r="M10" s="199">
        <v>2</v>
      </c>
      <c r="N10" s="199">
        <v>2</v>
      </c>
      <c r="O10" s="199">
        <v>2</v>
      </c>
      <c r="P10" s="199">
        <v>2</v>
      </c>
      <c r="Q10" s="199">
        <v>2</v>
      </c>
      <c r="R10" s="199">
        <v>2</v>
      </c>
      <c r="S10" s="199">
        <v>2</v>
      </c>
      <c r="T10" s="199">
        <v>2</v>
      </c>
      <c r="U10" s="199">
        <v>3</v>
      </c>
      <c r="V10" s="199">
        <v>2</v>
      </c>
      <c r="W10" s="199">
        <v>2</v>
      </c>
      <c r="X10" s="199"/>
      <c r="Y10" s="337"/>
      <c r="Z10" s="427" t="s">
        <v>289</v>
      </c>
    </row>
    <row r="11" spans="1:27" ht="51.6" customHeight="1" x14ac:dyDescent="0.15">
      <c r="A11" s="563"/>
      <c r="B11" s="554" t="s">
        <v>15</v>
      </c>
      <c r="C11" s="555"/>
      <c r="D11" s="200" t="s">
        <v>44</v>
      </c>
      <c r="E11" s="200" t="s">
        <v>44</v>
      </c>
      <c r="F11" s="200" t="s">
        <v>44</v>
      </c>
      <c r="G11" s="200" t="s">
        <v>44</v>
      </c>
      <c r="H11" s="200" t="s">
        <v>44</v>
      </c>
      <c r="I11" s="200" t="s">
        <v>44</v>
      </c>
      <c r="J11" s="200" t="s">
        <v>44</v>
      </c>
      <c r="K11" s="200" t="s">
        <v>44</v>
      </c>
      <c r="L11" s="200" t="s">
        <v>44</v>
      </c>
      <c r="M11" s="200" t="s">
        <v>44</v>
      </c>
      <c r="N11" s="200" t="s">
        <v>44</v>
      </c>
      <c r="O11" s="200" t="s">
        <v>44</v>
      </c>
      <c r="P11" s="200" t="s">
        <v>44</v>
      </c>
      <c r="Q11" s="294" t="s">
        <v>206</v>
      </c>
      <c r="R11" s="294" t="s">
        <v>206</v>
      </c>
      <c r="S11" s="294" t="s">
        <v>206</v>
      </c>
      <c r="T11" s="200" t="s">
        <v>44</v>
      </c>
      <c r="U11" s="200" t="s">
        <v>44</v>
      </c>
      <c r="V11" s="200" t="s">
        <v>44</v>
      </c>
      <c r="W11" s="200" t="s">
        <v>44</v>
      </c>
      <c r="X11" s="200"/>
      <c r="Y11" s="338"/>
      <c r="Z11" s="428"/>
    </row>
    <row r="12" spans="1:27" ht="22.5" customHeight="1" x14ac:dyDescent="0.15">
      <c r="A12" s="564"/>
      <c r="B12" s="540" t="s">
        <v>26</v>
      </c>
      <c r="C12" s="541"/>
      <c r="D12" s="186">
        <v>2000</v>
      </c>
      <c r="E12" s="186">
        <v>3000</v>
      </c>
      <c r="F12" s="186">
        <v>3000</v>
      </c>
      <c r="G12" s="186">
        <v>2000</v>
      </c>
      <c r="H12" s="186">
        <v>2000</v>
      </c>
      <c r="I12" s="186">
        <v>2000</v>
      </c>
      <c r="J12" s="186">
        <v>2000</v>
      </c>
      <c r="K12" s="186">
        <v>2000</v>
      </c>
      <c r="L12" s="186">
        <v>2000</v>
      </c>
      <c r="M12" s="186">
        <v>2000</v>
      </c>
      <c r="N12" s="186">
        <v>2000</v>
      </c>
      <c r="O12" s="186">
        <v>2000</v>
      </c>
      <c r="P12" s="186">
        <v>2000</v>
      </c>
      <c r="Q12" s="186">
        <v>2000</v>
      </c>
      <c r="R12" s="186">
        <v>2000</v>
      </c>
      <c r="S12" s="186">
        <v>2000</v>
      </c>
      <c r="T12" s="186">
        <v>2000</v>
      </c>
      <c r="U12" s="186">
        <v>3000</v>
      </c>
      <c r="V12" s="186">
        <v>2000</v>
      </c>
      <c r="W12" s="186">
        <v>2000</v>
      </c>
      <c r="X12" s="186"/>
      <c r="Y12" s="339"/>
      <c r="Z12" s="256">
        <f t="shared" ref="Z12:Z17" si="0">SUM(D12:Y12)</f>
        <v>43000</v>
      </c>
    </row>
    <row r="13" spans="1:27" ht="22.5" customHeight="1" x14ac:dyDescent="0.15">
      <c r="A13" s="564"/>
      <c r="B13" s="542" t="s">
        <v>231</v>
      </c>
      <c r="C13" s="343" t="s">
        <v>29</v>
      </c>
      <c r="D13" s="187">
        <v>700</v>
      </c>
      <c r="E13" s="187">
        <v>350</v>
      </c>
      <c r="F13" s="187">
        <v>350</v>
      </c>
      <c r="G13" s="187">
        <v>700</v>
      </c>
      <c r="H13" s="187">
        <v>700</v>
      </c>
      <c r="I13" s="187">
        <v>700</v>
      </c>
      <c r="J13" s="187"/>
      <c r="K13" s="187">
        <v>700</v>
      </c>
      <c r="L13" s="187">
        <v>700</v>
      </c>
      <c r="M13" s="187">
        <v>700</v>
      </c>
      <c r="N13" s="187">
        <v>700</v>
      </c>
      <c r="O13" s="187"/>
      <c r="P13" s="187">
        <v>700</v>
      </c>
      <c r="Q13" s="187"/>
      <c r="R13" s="187"/>
      <c r="S13" s="187"/>
      <c r="T13" s="187"/>
      <c r="U13" s="187">
        <v>700</v>
      </c>
      <c r="V13" s="187">
        <v>700</v>
      </c>
      <c r="W13" s="187"/>
      <c r="X13" s="187"/>
      <c r="Y13" s="339"/>
      <c r="Z13" s="260">
        <f t="shared" si="0"/>
        <v>8400</v>
      </c>
    </row>
    <row r="14" spans="1:27" ht="22.5" customHeight="1" x14ac:dyDescent="0.15">
      <c r="A14" s="564"/>
      <c r="B14" s="543"/>
      <c r="C14" s="344" t="s">
        <v>35</v>
      </c>
      <c r="D14" s="189"/>
      <c r="E14" s="189">
        <v>1600</v>
      </c>
      <c r="F14" s="189">
        <v>1600</v>
      </c>
      <c r="G14" s="189"/>
      <c r="H14" s="189"/>
      <c r="I14" s="189"/>
      <c r="J14" s="189">
        <v>1600</v>
      </c>
      <c r="K14" s="189"/>
      <c r="L14" s="189"/>
      <c r="M14" s="189"/>
      <c r="N14" s="189"/>
      <c r="O14" s="189">
        <v>1600</v>
      </c>
      <c r="P14" s="189"/>
      <c r="Q14" s="189"/>
      <c r="R14" s="189"/>
      <c r="S14" s="189"/>
      <c r="T14" s="189">
        <v>1600</v>
      </c>
      <c r="U14" s="189">
        <v>800</v>
      </c>
      <c r="V14" s="189"/>
      <c r="W14" s="189">
        <v>1600</v>
      </c>
      <c r="X14" s="189"/>
      <c r="Y14" s="114"/>
      <c r="Z14" s="259">
        <f t="shared" si="0"/>
        <v>10400</v>
      </c>
    </row>
    <row r="15" spans="1:27" ht="22.5" customHeight="1" x14ac:dyDescent="0.15">
      <c r="A15" s="564"/>
      <c r="B15" s="543"/>
      <c r="C15" s="345" t="s">
        <v>203</v>
      </c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89">
        <v>700</v>
      </c>
      <c r="R15" s="189">
        <v>700</v>
      </c>
      <c r="S15" s="189">
        <v>700</v>
      </c>
      <c r="T15" s="190"/>
      <c r="U15" s="190"/>
      <c r="V15" s="190"/>
      <c r="W15" s="190"/>
      <c r="X15" s="190"/>
      <c r="Y15" s="340"/>
      <c r="Z15" s="259">
        <f t="shared" si="0"/>
        <v>2100</v>
      </c>
    </row>
    <row r="16" spans="1:27" ht="22.5" customHeight="1" x14ac:dyDescent="0.15">
      <c r="A16" s="564"/>
      <c r="B16" s="544"/>
      <c r="C16" s="346" t="s">
        <v>27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340"/>
      <c r="Z16" s="259">
        <f t="shared" si="0"/>
        <v>0</v>
      </c>
    </row>
    <row r="17" spans="1:28" ht="22.5" customHeight="1" x14ac:dyDescent="0.15">
      <c r="A17" s="564"/>
      <c r="B17" s="545" t="s">
        <v>228</v>
      </c>
      <c r="C17" s="546"/>
      <c r="D17" s="330">
        <f t="shared" ref="D17:W17" si="1">SUM(D12:D16)</f>
        <v>2700</v>
      </c>
      <c r="E17" s="330">
        <f t="shared" si="1"/>
        <v>4950</v>
      </c>
      <c r="F17" s="330">
        <f t="shared" si="1"/>
        <v>4950</v>
      </c>
      <c r="G17" s="330">
        <f t="shared" si="1"/>
        <v>2700</v>
      </c>
      <c r="H17" s="330">
        <f t="shared" si="1"/>
        <v>2700</v>
      </c>
      <c r="I17" s="330">
        <f t="shared" si="1"/>
        <v>2700</v>
      </c>
      <c r="J17" s="330">
        <f t="shared" si="1"/>
        <v>3600</v>
      </c>
      <c r="K17" s="330">
        <f t="shared" si="1"/>
        <v>2700</v>
      </c>
      <c r="L17" s="330">
        <f t="shared" si="1"/>
        <v>2700</v>
      </c>
      <c r="M17" s="330">
        <f t="shared" si="1"/>
        <v>2700</v>
      </c>
      <c r="N17" s="330">
        <f t="shared" si="1"/>
        <v>2700</v>
      </c>
      <c r="O17" s="330">
        <f t="shared" si="1"/>
        <v>3600</v>
      </c>
      <c r="P17" s="330">
        <f t="shared" si="1"/>
        <v>2700</v>
      </c>
      <c r="Q17" s="330">
        <f t="shared" si="1"/>
        <v>2700</v>
      </c>
      <c r="R17" s="330">
        <f t="shared" si="1"/>
        <v>2700</v>
      </c>
      <c r="S17" s="330">
        <f t="shared" si="1"/>
        <v>2700</v>
      </c>
      <c r="T17" s="330">
        <f t="shared" si="1"/>
        <v>3600</v>
      </c>
      <c r="U17" s="330">
        <f t="shared" si="1"/>
        <v>4500</v>
      </c>
      <c r="V17" s="330">
        <f t="shared" si="1"/>
        <v>2700</v>
      </c>
      <c r="W17" s="330">
        <f t="shared" si="1"/>
        <v>3600</v>
      </c>
      <c r="X17" s="209"/>
      <c r="Y17" s="340"/>
      <c r="Z17" s="348">
        <f t="shared" si="0"/>
        <v>63900</v>
      </c>
    </row>
    <row r="18" spans="1:28" ht="22.5" customHeight="1" x14ac:dyDescent="0.15">
      <c r="A18" s="331"/>
      <c r="B18" s="331"/>
      <c r="C18" s="218"/>
      <c r="D18" s="270"/>
      <c r="E18" s="332"/>
      <c r="F18" s="270"/>
      <c r="G18" s="332"/>
      <c r="H18" s="332"/>
      <c r="I18" s="332"/>
      <c r="J18" s="332"/>
      <c r="K18" s="270"/>
      <c r="L18" s="332"/>
      <c r="M18" s="332"/>
      <c r="N18" s="270"/>
      <c r="O18" s="332"/>
      <c r="P18" s="270"/>
      <c r="Q18" s="332"/>
      <c r="R18" s="332"/>
      <c r="S18" s="332"/>
      <c r="T18" s="332"/>
      <c r="U18" s="332"/>
      <c r="V18" s="332"/>
      <c r="W18" s="332"/>
      <c r="X18" s="329"/>
      <c r="Y18" s="50"/>
      <c r="Z18" s="49"/>
    </row>
    <row r="19" spans="1:28" ht="18" customHeight="1" x14ac:dyDescent="0.15">
      <c r="A19" s="565"/>
      <c r="B19" s="547" t="s">
        <v>32</v>
      </c>
      <c r="C19" s="453"/>
      <c r="D19" s="162">
        <v>21</v>
      </c>
      <c r="E19" s="162">
        <v>22</v>
      </c>
      <c r="F19" s="162">
        <v>23</v>
      </c>
      <c r="G19" s="162">
        <v>24</v>
      </c>
      <c r="H19" s="162">
        <v>25</v>
      </c>
      <c r="I19" s="162">
        <v>26</v>
      </c>
      <c r="J19" s="162">
        <v>27</v>
      </c>
      <c r="K19" s="162">
        <v>28</v>
      </c>
      <c r="L19" s="162">
        <v>29</v>
      </c>
      <c r="M19" s="162">
        <v>30</v>
      </c>
      <c r="N19" s="162">
        <v>31</v>
      </c>
      <c r="O19" s="162">
        <v>32</v>
      </c>
      <c r="P19" s="162">
        <v>33</v>
      </c>
      <c r="Q19" s="162">
        <v>34</v>
      </c>
      <c r="R19" s="162">
        <v>35</v>
      </c>
      <c r="S19" s="162">
        <v>36</v>
      </c>
      <c r="T19" s="162">
        <v>37</v>
      </c>
      <c r="U19" s="162">
        <v>38</v>
      </c>
      <c r="V19" s="162">
        <v>39</v>
      </c>
      <c r="W19" s="162">
        <v>40</v>
      </c>
      <c r="X19" s="162"/>
      <c r="Y19" s="211"/>
      <c r="Z19" s="14" t="s">
        <v>28</v>
      </c>
    </row>
    <row r="20" spans="1:28" ht="18" customHeight="1" x14ac:dyDescent="0.15">
      <c r="A20" s="565"/>
      <c r="B20" s="548" t="s">
        <v>25</v>
      </c>
      <c r="C20" s="549"/>
      <c r="D20" s="242" t="s">
        <v>223</v>
      </c>
      <c r="E20" s="242" t="s">
        <v>224</v>
      </c>
      <c r="F20" s="242" t="s">
        <v>225</v>
      </c>
      <c r="G20" s="242" t="s">
        <v>226</v>
      </c>
      <c r="H20" s="242" t="s">
        <v>227</v>
      </c>
      <c r="I20" s="242" t="s">
        <v>141</v>
      </c>
      <c r="J20" s="242" t="s">
        <v>142</v>
      </c>
      <c r="K20" s="242" t="s">
        <v>143</v>
      </c>
      <c r="L20" s="242" t="s">
        <v>144</v>
      </c>
      <c r="M20" s="242" t="s">
        <v>145</v>
      </c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334"/>
      <c r="Z20" s="537"/>
    </row>
    <row r="21" spans="1:28" ht="18" customHeight="1" x14ac:dyDescent="0.15">
      <c r="A21" s="565"/>
      <c r="B21" s="550" t="s">
        <v>24</v>
      </c>
      <c r="C21" s="551"/>
      <c r="D21" s="194">
        <v>0.54166666666666663</v>
      </c>
      <c r="E21" s="194">
        <v>0.54166666666666663</v>
      </c>
      <c r="F21" s="194">
        <v>0.33333333333333331</v>
      </c>
      <c r="G21" s="194">
        <v>0.33333333333333331</v>
      </c>
      <c r="H21" s="194">
        <v>0.33333333333333331</v>
      </c>
      <c r="I21" s="194">
        <v>0.375</v>
      </c>
      <c r="J21" s="194">
        <v>0.33333333333333331</v>
      </c>
      <c r="K21" s="194">
        <v>0.66666666666666663</v>
      </c>
      <c r="L21" s="194">
        <v>0.29166666666666669</v>
      </c>
      <c r="M21" s="194">
        <v>0.33333333333333331</v>
      </c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335"/>
      <c r="Z21" s="538"/>
    </row>
    <row r="22" spans="1:28" ht="18" customHeight="1" x14ac:dyDescent="0.15">
      <c r="A22" s="565"/>
      <c r="B22" s="552"/>
      <c r="C22" s="553"/>
      <c r="D22" s="195" t="s">
        <v>4</v>
      </c>
      <c r="E22" s="195" t="s">
        <v>4</v>
      </c>
      <c r="F22" s="195" t="s">
        <v>4</v>
      </c>
      <c r="G22" s="195" t="s">
        <v>4</v>
      </c>
      <c r="H22" s="195" t="s">
        <v>4</v>
      </c>
      <c r="I22" s="195" t="s">
        <v>4</v>
      </c>
      <c r="J22" s="195" t="s">
        <v>4</v>
      </c>
      <c r="K22" s="195" t="s">
        <v>4</v>
      </c>
      <c r="L22" s="195" t="s">
        <v>4</v>
      </c>
      <c r="M22" s="195" t="s">
        <v>4</v>
      </c>
      <c r="N22" s="195"/>
      <c r="O22" s="195"/>
      <c r="P22" s="195"/>
      <c r="Q22" s="196"/>
      <c r="R22" s="196"/>
      <c r="S22" s="195"/>
      <c r="T22" s="195"/>
      <c r="U22" s="195"/>
      <c r="V22" s="195"/>
      <c r="W22" s="195"/>
      <c r="X22" s="195"/>
      <c r="Y22" s="195"/>
      <c r="Z22" s="538"/>
    </row>
    <row r="23" spans="1:28" ht="18" customHeight="1" x14ac:dyDescent="0.15">
      <c r="A23" s="565"/>
      <c r="B23" s="540"/>
      <c r="C23" s="541"/>
      <c r="D23" s="197">
        <v>0.625</v>
      </c>
      <c r="E23" s="197">
        <v>0.625</v>
      </c>
      <c r="F23" s="197">
        <v>0.41666666666666669</v>
      </c>
      <c r="G23" s="197">
        <v>0.41666666666666669</v>
      </c>
      <c r="H23" s="197">
        <v>0.41666666666666669</v>
      </c>
      <c r="I23" s="197">
        <v>0.45833333333333331</v>
      </c>
      <c r="J23" s="197">
        <v>0.41666666666666669</v>
      </c>
      <c r="K23" s="197">
        <v>0.75</v>
      </c>
      <c r="L23" s="197">
        <v>0.375</v>
      </c>
      <c r="M23" s="197">
        <v>0.41666666666666669</v>
      </c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336"/>
      <c r="Z23" s="539"/>
    </row>
    <row r="24" spans="1:28" ht="18" customHeight="1" x14ac:dyDescent="0.15">
      <c r="A24" s="565"/>
      <c r="B24" s="545" t="s">
        <v>5</v>
      </c>
      <c r="C24" s="546"/>
      <c r="D24" s="199">
        <v>2</v>
      </c>
      <c r="E24" s="199">
        <v>2</v>
      </c>
      <c r="F24" s="199">
        <v>2</v>
      </c>
      <c r="G24" s="199">
        <v>2</v>
      </c>
      <c r="H24" s="199">
        <v>2</v>
      </c>
      <c r="I24" s="199">
        <v>2</v>
      </c>
      <c r="J24" s="199">
        <v>2</v>
      </c>
      <c r="K24" s="199">
        <v>2</v>
      </c>
      <c r="L24" s="199">
        <v>2</v>
      </c>
      <c r="M24" s="199">
        <v>2</v>
      </c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337"/>
      <c r="Z24" s="427" t="s">
        <v>290</v>
      </c>
    </row>
    <row r="25" spans="1:28" ht="50.25" customHeight="1" x14ac:dyDescent="0.15">
      <c r="A25" s="565"/>
      <c r="B25" s="554" t="s">
        <v>15</v>
      </c>
      <c r="C25" s="555"/>
      <c r="D25" s="294" t="s">
        <v>206</v>
      </c>
      <c r="E25" s="294" t="s">
        <v>206</v>
      </c>
      <c r="F25" s="200" t="s">
        <v>44</v>
      </c>
      <c r="G25" s="200" t="s">
        <v>44</v>
      </c>
      <c r="H25" s="200" t="s">
        <v>44</v>
      </c>
      <c r="I25" s="200" t="s">
        <v>44</v>
      </c>
      <c r="J25" s="200" t="s">
        <v>44</v>
      </c>
      <c r="K25" s="200" t="s">
        <v>44</v>
      </c>
      <c r="L25" s="200" t="s">
        <v>44</v>
      </c>
      <c r="M25" s="200" t="s">
        <v>44</v>
      </c>
      <c r="N25" s="200"/>
      <c r="O25" s="200"/>
      <c r="P25" s="200"/>
      <c r="Q25" s="294"/>
      <c r="R25" s="294"/>
      <c r="S25" s="200"/>
      <c r="T25" s="200"/>
      <c r="U25" s="200"/>
      <c r="V25" s="200"/>
      <c r="W25" s="200"/>
      <c r="X25" s="200"/>
      <c r="Y25" s="338"/>
      <c r="Z25" s="428"/>
    </row>
    <row r="26" spans="1:28" ht="23.25" customHeight="1" x14ac:dyDescent="0.15">
      <c r="A26" s="553"/>
      <c r="B26" s="540" t="s">
        <v>26</v>
      </c>
      <c r="C26" s="541"/>
      <c r="D26" s="186">
        <v>2000</v>
      </c>
      <c r="E26" s="186">
        <v>2000</v>
      </c>
      <c r="F26" s="186">
        <v>2000</v>
      </c>
      <c r="G26" s="186">
        <v>2000</v>
      </c>
      <c r="H26" s="186">
        <v>2000</v>
      </c>
      <c r="I26" s="186">
        <v>2000</v>
      </c>
      <c r="J26" s="186">
        <v>2000</v>
      </c>
      <c r="K26" s="186">
        <v>2000</v>
      </c>
      <c r="L26" s="186">
        <v>2000</v>
      </c>
      <c r="M26" s="186">
        <v>2000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339"/>
      <c r="Z26" s="256">
        <f t="shared" ref="Z26:Z31" si="2">SUM(D26:Y26)</f>
        <v>20000</v>
      </c>
    </row>
    <row r="27" spans="1:28" ht="23.25" customHeight="1" x14ac:dyDescent="0.15">
      <c r="A27" s="553"/>
      <c r="B27" s="542" t="s">
        <v>231</v>
      </c>
      <c r="C27" s="343" t="s">
        <v>29</v>
      </c>
      <c r="D27" s="187"/>
      <c r="E27" s="187"/>
      <c r="F27" s="187">
        <v>700</v>
      </c>
      <c r="G27" s="187"/>
      <c r="H27" s="187"/>
      <c r="I27" s="187"/>
      <c r="J27" s="187">
        <v>700</v>
      </c>
      <c r="K27" s="187">
        <v>700</v>
      </c>
      <c r="L27" s="187">
        <v>700</v>
      </c>
      <c r="M27" s="187">
        <v>700</v>
      </c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339"/>
      <c r="Z27" s="260">
        <f t="shared" si="2"/>
        <v>3500</v>
      </c>
    </row>
    <row r="28" spans="1:28" ht="23.25" customHeight="1" x14ac:dyDescent="0.15">
      <c r="A28" s="553"/>
      <c r="B28" s="543"/>
      <c r="C28" s="344" t="s">
        <v>35</v>
      </c>
      <c r="D28" s="189"/>
      <c r="E28" s="189"/>
      <c r="F28" s="189"/>
      <c r="G28" s="189">
        <v>1600</v>
      </c>
      <c r="H28" s="189">
        <v>1600</v>
      </c>
      <c r="I28" s="189">
        <v>1600</v>
      </c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14"/>
      <c r="Z28" s="259">
        <f t="shared" si="2"/>
        <v>4800</v>
      </c>
    </row>
    <row r="29" spans="1:28" ht="21.75" customHeight="1" x14ac:dyDescent="0.15">
      <c r="A29" s="553"/>
      <c r="B29" s="543"/>
      <c r="C29" s="345" t="s">
        <v>203</v>
      </c>
      <c r="D29" s="189">
        <v>700</v>
      </c>
      <c r="E29" s="189">
        <v>700</v>
      </c>
      <c r="F29" s="189"/>
      <c r="G29" s="189"/>
      <c r="H29" s="189"/>
      <c r="I29" s="189"/>
      <c r="J29" s="189"/>
      <c r="K29" s="189"/>
      <c r="L29" s="189"/>
      <c r="M29" s="189"/>
      <c r="N29" s="189"/>
      <c r="O29" s="190"/>
      <c r="P29" s="190"/>
      <c r="Q29" s="189"/>
      <c r="R29" s="189"/>
      <c r="S29" s="190"/>
      <c r="T29" s="190"/>
      <c r="U29" s="190"/>
      <c r="V29" s="190"/>
      <c r="W29" s="190"/>
      <c r="X29" s="190"/>
      <c r="Y29" s="340"/>
      <c r="Z29" s="259">
        <f t="shared" si="2"/>
        <v>1400</v>
      </c>
    </row>
    <row r="30" spans="1:28" ht="23.25" customHeight="1" x14ac:dyDescent="0.15">
      <c r="A30" s="553"/>
      <c r="B30" s="544"/>
      <c r="C30" s="346" t="s">
        <v>27</v>
      </c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340"/>
      <c r="Z30" s="259">
        <f t="shared" si="2"/>
        <v>0</v>
      </c>
    </row>
    <row r="31" spans="1:28" ht="23.25" customHeight="1" x14ac:dyDescent="0.15">
      <c r="A31" s="553"/>
      <c r="B31" s="545" t="s">
        <v>22</v>
      </c>
      <c r="C31" s="546"/>
      <c r="D31" s="330">
        <f t="shared" ref="D31:M31" si="3">SUM(D26:D30)</f>
        <v>2700</v>
      </c>
      <c r="E31" s="330">
        <f t="shared" si="3"/>
        <v>2700</v>
      </c>
      <c r="F31" s="330">
        <f t="shared" si="3"/>
        <v>2700</v>
      </c>
      <c r="G31" s="330">
        <f t="shared" si="3"/>
        <v>3600</v>
      </c>
      <c r="H31" s="330">
        <f t="shared" si="3"/>
        <v>3600</v>
      </c>
      <c r="I31" s="330">
        <f t="shared" si="3"/>
        <v>3600</v>
      </c>
      <c r="J31" s="330">
        <f t="shared" si="3"/>
        <v>2700</v>
      </c>
      <c r="K31" s="330">
        <f t="shared" si="3"/>
        <v>2700</v>
      </c>
      <c r="L31" s="330">
        <f t="shared" si="3"/>
        <v>2700</v>
      </c>
      <c r="M31" s="330">
        <f t="shared" si="3"/>
        <v>2700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340"/>
      <c r="Z31" s="348">
        <f t="shared" si="2"/>
        <v>29700</v>
      </c>
    </row>
    <row r="32" spans="1:28" ht="21.75" customHeight="1" thickBot="1" x14ac:dyDescent="0.2">
      <c r="A32" s="12"/>
      <c r="B32" s="12"/>
      <c r="C32" s="224"/>
      <c r="D32" s="347"/>
      <c r="E32" s="347"/>
      <c r="F32" s="347"/>
      <c r="G32" s="333"/>
      <c r="H32" s="347"/>
      <c r="I32" s="347"/>
      <c r="J32" s="333"/>
      <c r="K32" s="347"/>
      <c r="L32" s="347"/>
      <c r="M32" s="333"/>
      <c r="N32" s="347"/>
      <c r="O32" s="333"/>
      <c r="P32" s="347"/>
      <c r="Q32" s="333"/>
      <c r="R32" s="347"/>
      <c r="S32" s="333"/>
      <c r="T32" s="347"/>
      <c r="U32" s="333"/>
      <c r="V32" s="347"/>
      <c r="W32" s="347"/>
      <c r="X32" s="347"/>
      <c r="Y32" s="50"/>
      <c r="Z32" s="111"/>
      <c r="AB32" s="353" t="s">
        <v>235</v>
      </c>
    </row>
    <row r="33" spans="15:28" ht="24" customHeight="1" thickBot="1" x14ac:dyDescent="0.2">
      <c r="O33" s="566" t="s">
        <v>237</v>
      </c>
      <c r="P33" s="566"/>
      <c r="Q33" s="566"/>
      <c r="R33" s="354" t="s">
        <v>122</v>
      </c>
      <c r="S33" s="354"/>
      <c r="T33" s="354"/>
      <c r="V33" s="349"/>
      <c r="W33" s="569" t="s">
        <v>233</v>
      </c>
      <c r="X33" s="570"/>
      <c r="Y33" s="559">
        <f>Z12+Z26</f>
        <v>63000</v>
      </c>
      <c r="Z33" s="560"/>
      <c r="AB33" s="350"/>
    </row>
    <row r="34" spans="15:28" ht="24" customHeight="1" thickBot="1" x14ac:dyDescent="0.2">
      <c r="P34" s="567" t="s">
        <v>236</v>
      </c>
      <c r="Q34" s="567"/>
      <c r="R34" t="s">
        <v>123</v>
      </c>
      <c r="V34" s="349"/>
      <c r="W34" s="569" t="s">
        <v>232</v>
      </c>
      <c r="X34" s="570"/>
      <c r="Y34" s="561">
        <f>Z13+Z14+Z15+Z16+Z27+Z28+Z29+Z30</f>
        <v>30600</v>
      </c>
      <c r="Z34" s="562"/>
      <c r="AB34" s="351"/>
    </row>
    <row r="35" spans="15:28" ht="24" customHeight="1" thickBot="1" x14ac:dyDescent="0.2">
      <c r="R35" t="s">
        <v>124</v>
      </c>
      <c r="V35" s="349"/>
      <c r="W35" s="557" t="s">
        <v>234</v>
      </c>
      <c r="X35" s="558"/>
      <c r="Y35" s="559">
        <f>Y33+Y34</f>
        <v>93600</v>
      </c>
      <c r="Z35" s="560"/>
      <c r="AB35" s="352"/>
    </row>
    <row r="36" spans="15:28" ht="16.5" customHeight="1" x14ac:dyDescent="0.15">
      <c r="R36" t="s">
        <v>121</v>
      </c>
      <c r="V36" s="333"/>
      <c r="W36" s="333"/>
      <c r="X36" s="333"/>
      <c r="Y36" s="50"/>
      <c r="Z36" s="50"/>
    </row>
    <row r="37" spans="15:28" ht="16.5" customHeight="1" x14ac:dyDescent="0.15">
      <c r="V37" s="333"/>
      <c r="W37" s="333"/>
      <c r="X37" s="333"/>
      <c r="Y37" s="50"/>
      <c r="Z37" s="50"/>
    </row>
    <row r="38" spans="15:28" ht="16.5" customHeight="1" x14ac:dyDescent="0.15">
      <c r="V38" s="333"/>
      <c r="W38" s="333"/>
      <c r="X38" s="333"/>
      <c r="Y38" s="50"/>
      <c r="Z38" s="50"/>
    </row>
    <row r="39" spans="15:28" ht="16.5" customHeight="1" x14ac:dyDescent="0.15">
      <c r="V39" s="333"/>
      <c r="W39" s="333"/>
      <c r="X39" s="333"/>
      <c r="Y39" s="50"/>
      <c r="Z39" s="50"/>
    </row>
    <row r="40" spans="15:28" ht="14.25" x14ac:dyDescent="0.15">
      <c r="V40" s="333"/>
      <c r="W40" s="333"/>
      <c r="X40" s="333"/>
      <c r="Y40" s="50"/>
      <c r="Z40" s="50"/>
    </row>
  </sheetData>
  <mergeCells count="37">
    <mergeCell ref="O33:Q33"/>
    <mergeCell ref="P34:Q34"/>
    <mergeCell ref="K3:M3"/>
    <mergeCell ref="W33:X33"/>
    <mergeCell ref="W34:X34"/>
    <mergeCell ref="U3:W3"/>
    <mergeCell ref="W35:X35"/>
    <mergeCell ref="Y33:Z33"/>
    <mergeCell ref="Y34:Z34"/>
    <mergeCell ref="Y35:Z35"/>
    <mergeCell ref="A5:A11"/>
    <mergeCell ref="B5:C5"/>
    <mergeCell ref="B6:C6"/>
    <mergeCell ref="B7:C9"/>
    <mergeCell ref="B10:C10"/>
    <mergeCell ref="B11:C11"/>
    <mergeCell ref="A26:A31"/>
    <mergeCell ref="A12:A17"/>
    <mergeCell ref="A19:A25"/>
    <mergeCell ref="B12:C12"/>
    <mergeCell ref="B17:C17"/>
    <mergeCell ref="B13:B16"/>
    <mergeCell ref="V2:W2"/>
    <mergeCell ref="Y2:Z2"/>
    <mergeCell ref="O3:Q3"/>
    <mergeCell ref="D2:F2"/>
    <mergeCell ref="G2:I2"/>
    <mergeCell ref="Z6:Z9"/>
    <mergeCell ref="Z20:Z23"/>
    <mergeCell ref="B26:C26"/>
    <mergeCell ref="B27:B30"/>
    <mergeCell ref="B31:C31"/>
    <mergeCell ref="B19:C19"/>
    <mergeCell ref="B20:C20"/>
    <mergeCell ref="B21:C23"/>
    <mergeCell ref="B24:C24"/>
    <mergeCell ref="B25:C25"/>
  </mergeCells>
  <phoneticPr fontId="1"/>
  <pageMargins left="0" right="0" top="1.2598425196850394" bottom="0" header="0.31496062992125984" footer="0.11811023622047245"/>
  <pageSetup paperSize="9" scale="62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A607-8EEC-4E6F-BD27-CA447AD134B6}">
  <sheetPr>
    <tabColor rgb="FFFFC000"/>
  </sheetPr>
  <dimension ref="A2:AC43"/>
  <sheetViews>
    <sheetView tabSelected="1" workbookViewId="0">
      <selection activeCell="F8" sqref="F8"/>
    </sheetView>
  </sheetViews>
  <sheetFormatPr defaultRowHeight="13.5" x14ac:dyDescent="0.15"/>
  <cols>
    <col min="1" max="1" width="3.5" customWidth="1"/>
    <col min="2" max="2" width="6.5" customWidth="1"/>
    <col min="3" max="3" width="12.75" customWidth="1"/>
    <col min="4" max="22" width="8.25" customWidth="1"/>
    <col min="24" max="24" width="7.125" customWidth="1"/>
    <col min="25" max="25" width="3" customWidth="1"/>
    <col min="27" max="27" width="1.5" customWidth="1"/>
    <col min="28" max="28" width="11.125" customWidth="1"/>
    <col min="29" max="29" width="2.125" customWidth="1"/>
  </cols>
  <sheetData>
    <row r="2" spans="1:29" ht="21" x14ac:dyDescent="0.15">
      <c r="A2" s="66"/>
      <c r="B2" s="66"/>
      <c r="C2" s="341"/>
      <c r="D2" s="503" t="s">
        <v>229</v>
      </c>
      <c r="E2" s="503"/>
      <c r="F2" s="503"/>
      <c r="G2" s="503" t="s">
        <v>230</v>
      </c>
      <c r="H2" s="503"/>
      <c r="I2" s="503"/>
      <c r="Q2" s="11"/>
      <c r="R2" s="11"/>
      <c r="S2" s="11"/>
      <c r="T2" s="96"/>
      <c r="U2" s="39"/>
      <c r="V2" s="528"/>
      <c r="W2" s="529"/>
      <c r="X2" s="39"/>
      <c r="Y2" s="528"/>
      <c r="Z2" s="528"/>
    </row>
    <row r="3" spans="1:29" ht="28.5" x14ac:dyDescent="0.15">
      <c r="A3" s="66"/>
      <c r="B3" s="66"/>
      <c r="C3" s="12"/>
      <c r="D3" s="81" t="s">
        <v>277</v>
      </c>
      <c r="E3" s="73"/>
      <c r="F3" s="73"/>
      <c r="G3" s="73"/>
      <c r="H3" s="73"/>
      <c r="I3" s="73"/>
      <c r="J3" s="81"/>
      <c r="K3" s="568" t="s">
        <v>104</v>
      </c>
      <c r="L3" s="568"/>
      <c r="M3" s="568"/>
      <c r="N3" s="11"/>
      <c r="O3" s="556" t="s">
        <v>173</v>
      </c>
      <c r="P3" s="556"/>
      <c r="Q3" s="556"/>
      <c r="R3" s="11"/>
      <c r="S3" s="11"/>
      <c r="T3" s="11"/>
      <c r="U3" s="11"/>
      <c r="V3" s="556" t="s">
        <v>281</v>
      </c>
      <c r="W3" s="571"/>
      <c r="X3" s="571"/>
      <c r="Y3" s="11"/>
      <c r="Z3" s="11"/>
      <c r="AA3" s="82"/>
    </row>
    <row r="4" spans="1:29" ht="14.25" x14ac:dyDescent="0.15">
      <c r="A4" s="207"/>
      <c r="B4" s="20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07"/>
      <c r="Z4" s="217"/>
    </row>
    <row r="5" spans="1:29" ht="14.25" x14ac:dyDescent="0.15">
      <c r="A5" s="553"/>
      <c r="B5" s="547" t="s">
        <v>32</v>
      </c>
      <c r="C5" s="453"/>
      <c r="D5" s="162">
        <v>1</v>
      </c>
      <c r="E5" s="162">
        <v>2</v>
      </c>
      <c r="F5" s="162">
        <v>3</v>
      </c>
      <c r="G5" s="162">
        <v>4</v>
      </c>
      <c r="H5" s="162">
        <v>5</v>
      </c>
      <c r="I5" s="162">
        <v>6</v>
      </c>
      <c r="J5" s="162">
        <v>7</v>
      </c>
      <c r="K5" s="162">
        <v>8</v>
      </c>
      <c r="L5" s="162">
        <v>9</v>
      </c>
      <c r="M5" s="162">
        <v>10</v>
      </c>
      <c r="N5" s="162">
        <v>11</v>
      </c>
      <c r="O5" s="162">
        <v>12</v>
      </c>
      <c r="P5" s="162">
        <v>13</v>
      </c>
      <c r="Q5" s="162">
        <v>14</v>
      </c>
      <c r="R5" s="162">
        <v>15</v>
      </c>
      <c r="S5" s="162">
        <v>16</v>
      </c>
      <c r="T5" s="162">
        <v>17</v>
      </c>
      <c r="U5" s="162">
        <v>18</v>
      </c>
      <c r="V5" s="162">
        <v>19</v>
      </c>
      <c r="W5" s="162">
        <v>20</v>
      </c>
      <c r="X5" s="162"/>
      <c r="Y5" s="211"/>
      <c r="Z5" s="14" t="s">
        <v>28</v>
      </c>
    </row>
    <row r="6" spans="1:29" ht="14.25" x14ac:dyDescent="0.15">
      <c r="A6" s="553"/>
      <c r="B6" s="548" t="s">
        <v>25</v>
      </c>
      <c r="C6" s="549"/>
      <c r="D6" s="242" t="s">
        <v>238</v>
      </c>
      <c r="E6" s="242" t="s">
        <v>239</v>
      </c>
      <c r="F6" s="242" t="s">
        <v>126</v>
      </c>
      <c r="G6" s="242" t="s">
        <v>190</v>
      </c>
      <c r="H6" s="242" t="s">
        <v>191</v>
      </c>
      <c r="I6" s="242" t="s">
        <v>157</v>
      </c>
      <c r="J6" s="242" t="s">
        <v>158</v>
      </c>
      <c r="K6" s="242" t="s">
        <v>240</v>
      </c>
      <c r="L6" s="242" t="s">
        <v>241</v>
      </c>
      <c r="M6" s="242" t="s">
        <v>160</v>
      </c>
      <c r="N6" s="242" t="s">
        <v>129</v>
      </c>
      <c r="O6" s="242" t="s">
        <v>242</v>
      </c>
      <c r="P6" s="242" t="s">
        <v>243</v>
      </c>
      <c r="Q6" s="242" t="s">
        <v>244</v>
      </c>
      <c r="R6" s="242" t="s">
        <v>245</v>
      </c>
      <c r="S6" s="242" t="s">
        <v>246</v>
      </c>
      <c r="T6" s="242" t="s">
        <v>162</v>
      </c>
      <c r="U6" s="242" t="s">
        <v>186</v>
      </c>
      <c r="V6" s="242" t="s">
        <v>194</v>
      </c>
      <c r="W6" s="242" t="s">
        <v>247</v>
      </c>
      <c r="X6" s="242"/>
      <c r="Y6" s="334"/>
      <c r="Z6" s="243"/>
      <c r="AA6" s="244"/>
      <c r="AB6" s="244"/>
      <c r="AC6" s="244"/>
    </row>
    <row r="7" spans="1:29" ht="14.25" x14ac:dyDescent="0.15">
      <c r="A7" s="553"/>
      <c r="B7" s="550" t="s">
        <v>24</v>
      </c>
      <c r="C7" s="551"/>
      <c r="D7" s="194">
        <v>0.33333333333333331</v>
      </c>
      <c r="E7" s="194">
        <v>0.33333333333333331</v>
      </c>
      <c r="F7" s="194">
        <v>0.29166666666666669</v>
      </c>
      <c r="G7" s="194">
        <v>0.54166666666666663</v>
      </c>
      <c r="H7" s="194">
        <v>0.54166666666666663</v>
      </c>
      <c r="I7" s="194">
        <v>0.29166666666666669</v>
      </c>
      <c r="J7" s="194">
        <v>0.375</v>
      </c>
      <c r="K7" s="194">
        <v>0.33333333333333331</v>
      </c>
      <c r="L7" s="194">
        <v>0.58333333333333337</v>
      </c>
      <c r="M7" s="194">
        <v>0.29166666666666669</v>
      </c>
      <c r="N7" s="194">
        <v>0.625</v>
      </c>
      <c r="O7" s="194">
        <v>0.33333333333333331</v>
      </c>
      <c r="P7" s="194">
        <v>0.58333333333333337</v>
      </c>
      <c r="Q7" s="194">
        <v>0.66666666666666663</v>
      </c>
      <c r="R7" s="194">
        <v>0.66666666666666663</v>
      </c>
      <c r="S7" s="194">
        <v>0.375</v>
      </c>
      <c r="T7" s="194">
        <v>0.33333333333333331</v>
      </c>
      <c r="U7" s="194">
        <v>0.625</v>
      </c>
      <c r="V7" s="194">
        <v>0.33333333333333331</v>
      </c>
      <c r="W7" s="194">
        <v>0.33333333333333331</v>
      </c>
      <c r="X7" s="194"/>
      <c r="Y7" s="335"/>
      <c r="Z7" s="335"/>
    </row>
    <row r="8" spans="1:29" ht="15.75" x14ac:dyDescent="0.15">
      <c r="A8" s="553"/>
      <c r="B8" s="552"/>
      <c r="C8" s="553"/>
      <c r="D8" s="195" t="s">
        <v>4</v>
      </c>
      <c r="E8" s="195" t="s">
        <v>4</v>
      </c>
      <c r="F8" s="195" t="s">
        <v>4</v>
      </c>
      <c r="G8" s="195" t="s">
        <v>4</v>
      </c>
      <c r="H8" s="195" t="s">
        <v>4</v>
      </c>
      <c r="I8" s="195" t="s">
        <v>4</v>
      </c>
      <c r="J8" s="195" t="s">
        <v>4</v>
      </c>
      <c r="K8" s="195" t="s">
        <v>4</v>
      </c>
      <c r="L8" s="195" t="s">
        <v>4</v>
      </c>
      <c r="M8" s="195" t="s">
        <v>4</v>
      </c>
      <c r="N8" s="195" t="s">
        <v>4</v>
      </c>
      <c r="O8" s="195" t="s">
        <v>4</v>
      </c>
      <c r="P8" s="195" t="s">
        <v>4</v>
      </c>
      <c r="Q8" s="196" t="s">
        <v>4</v>
      </c>
      <c r="R8" s="196" t="s">
        <v>4</v>
      </c>
      <c r="S8" s="196" t="s">
        <v>4</v>
      </c>
      <c r="T8" s="196" t="s">
        <v>4</v>
      </c>
      <c r="U8" s="196" t="s">
        <v>4</v>
      </c>
      <c r="V8" s="196" t="s">
        <v>4</v>
      </c>
      <c r="W8" s="196" t="s">
        <v>4</v>
      </c>
      <c r="X8" s="195"/>
      <c r="Y8" s="195"/>
      <c r="Z8" s="45"/>
    </row>
    <row r="9" spans="1:29" ht="14.25" x14ac:dyDescent="0.15">
      <c r="A9" s="553"/>
      <c r="B9" s="540"/>
      <c r="C9" s="541"/>
      <c r="D9" s="197">
        <v>0.41666666666666669</v>
      </c>
      <c r="E9" s="197">
        <v>0.41666666666666669</v>
      </c>
      <c r="F9" s="197">
        <v>0.375</v>
      </c>
      <c r="G9" s="197">
        <v>0.625</v>
      </c>
      <c r="H9" s="197">
        <v>0.625</v>
      </c>
      <c r="I9" s="197">
        <v>0.375</v>
      </c>
      <c r="J9" s="197">
        <v>0.45833333333333331</v>
      </c>
      <c r="K9" s="197">
        <v>0.41666666666666669</v>
      </c>
      <c r="L9" s="197">
        <v>0.66666666666666663</v>
      </c>
      <c r="M9" s="197">
        <v>0.375</v>
      </c>
      <c r="N9" s="197">
        <v>0.70833333333333337</v>
      </c>
      <c r="O9" s="197">
        <v>0.41666666666666669</v>
      </c>
      <c r="P9" s="197">
        <v>0.66666666666666663</v>
      </c>
      <c r="Q9" s="197">
        <v>0.75</v>
      </c>
      <c r="R9" s="197">
        <v>0.75</v>
      </c>
      <c r="S9" s="197">
        <v>0.41666666666666669</v>
      </c>
      <c r="T9" s="197">
        <v>0.41666666666666669</v>
      </c>
      <c r="U9" s="197">
        <v>0.70833333333333337</v>
      </c>
      <c r="V9" s="197">
        <v>0.41666666666666669</v>
      </c>
      <c r="W9" s="197">
        <v>0.41666666666666669</v>
      </c>
      <c r="X9" s="197"/>
      <c r="Y9" s="336"/>
      <c r="Z9" s="426"/>
    </row>
    <row r="10" spans="1:29" ht="14.25" x14ac:dyDescent="0.15">
      <c r="A10" s="553"/>
      <c r="B10" s="545" t="s">
        <v>5</v>
      </c>
      <c r="C10" s="546"/>
      <c r="D10" s="199">
        <v>2</v>
      </c>
      <c r="E10" s="199">
        <v>2</v>
      </c>
      <c r="F10" s="199">
        <v>2</v>
      </c>
      <c r="G10" s="199">
        <v>2</v>
      </c>
      <c r="H10" s="199">
        <v>2</v>
      </c>
      <c r="I10" s="199">
        <v>2</v>
      </c>
      <c r="J10" s="199">
        <v>2</v>
      </c>
      <c r="K10" s="199">
        <v>2</v>
      </c>
      <c r="L10" s="199">
        <v>2</v>
      </c>
      <c r="M10" s="199">
        <v>2</v>
      </c>
      <c r="N10" s="199">
        <v>2</v>
      </c>
      <c r="O10" s="199">
        <v>2</v>
      </c>
      <c r="P10" s="199">
        <v>2</v>
      </c>
      <c r="Q10" s="199">
        <v>2</v>
      </c>
      <c r="R10" s="199">
        <v>2</v>
      </c>
      <c r="S10" s="199">
        <v>2</v>
      </c>
      <c r="T10" s="199">
        <v>2</v>
      </c>
      <c r="U10" s="199">
        <v>2</v>
      </c>
      <c r="V10" s="199">
        <v>2</v>
      </c>
      <c r="W10" s="199">
        <v>2</v>
      </c>
      <c r="X10" s="199"/>
      <c r="Y10" s="337"/>
      <c r="Z10" s="199" t="s">
        <v>287</v>
      </c>
      <c r="AA10" s="2"/>
      <c r="AB10" s="2"/>
      <c r="AC10" s="2"/>
    </row>
    <row r="11" spans="1:29" ht="59.25" customHeight="1" x14ac:dyDescent="0.15">
      <c r="A11" s="563"/>
      <c r="B11" s="554" t="s">
        <v>15</v>
      </c>
      <c r="C11" s="555"/>
      <c r="D11" s="200" t="s">
        <v>44</v>
      </c>
      <c r="E11" s="200" t="s">
        <v>44</v>
      </c>
      <c r="F11" s="200" t="s">
        <v>44</v>
      </c>
      <c r="G11" s="294" t="s">
        <v>206</v>
      </c>
      <c r="H11" s="294" t="s">
        <v>206</v>
      </c>
      <c r="I11" s="200" t="s">
        <v>44</v>
      </c>
      <c r="J11" s="200" t="s">
        <v>44</v>
      </c>
      <c r="K11" s="200" t="s">
        <v>44</v>
      </c>
      <c r="L11" s="200" t="s">
        <v>44</v>
      </c>
      <c r="M11" s="200" t="s">
        <v>44</v>
      </c>
      <c r="N11" s="200" t="s">
        <v>44</v>
      </c>
      <c r="O11" s="200" t="s">
        <v>44</v>
      </c>
      <c r="P11" s="200" t="s">
        <v>44</v>
      </c>
      <c r="Q11" s="294" t="s">
        <v>206</v>
      </c>
      <c r="R11" s="294" t="s">
        <v>206</v>
      </c>
      <c r="S11" s="294" t="s">
        <v>206</v>
      </c>
      <c r="T11" s="200" t="s">
        <v>44</v>
      </c>
      <c r="U11" s="200" t="s">
        <v>44</v>
      </c>
      <c r="V11" s="200" t="s">
        <v>44</v>
      </c>
      <c r="W11" s="200" t="s">
        <v>44</v>
      </c>
      <c r="X11" s="200"/>
      <c r="Y11" s="338"/>
      <c r="Z11" s="342"/>
    </row>
    <row r="12" spans="1:29" ht="14.25" x14ac:dyDescent="0.15">
      <c r="A12" s="564"/>
      <c r="B12" s="540" t="s">
        <v>26</v>
      </c>
      <c r="C12" s="541"/>
      <c r="D12" s="186">
        <v>2000</v>
      </c>
      <c r="E12" s="186">
        <v>2000</v>
      </c>
      <c r="F12" s="186">
        <v>2000</v>
      </c>
      <c r="G12" s="186">
        <v>2000</v>
      </c>
      <c r="H12" s="186">
        <v>2000</v>
      </c>
      <c r="I12" s="186">
        <v>2000</v>
      </c>
      <c r="J12" s="186">
        <v>2000</v>
      </c>
      <c r="K12" s="186">
        <v>2000</v>
      </c>
      <c r="L12" s="186">
        <v>2000</v>
      </c>
      <c r="M12" s="186">
        <v>2000</v>
      </c>
      <c r="N12" s="186">
        <v>2000</v>
      </c>
      <c r="O12" s="186">
        <v>2000</v>
      </c>
      <c r="P12" s="186">
        <v>2000</v>
      </c>
      <c r="Q12" s="186">
        <v>2000</v>
      </c>
      <c r="R12" s="186">
        <v>2000</v>
      </c>
      <c r="S12" s="186">
        <v>2000</v>
      </c>
      <c r="T12" s="186">
        <v>2000</v>
      </c>
      <c r="U12" s="186">
        <v>2000</v>
      </c>
      <c r="V12" s="186">
        <v>2000</v>
      </c>
      <c r="W12" s="186">
        <v>2000</v>
      </c>
      <c r="X12" s="186"/>
      <c r="Y12" s="339"/>
      <c r="Z12" s="256">
        <f t="shared" ref="Z12:Z17" si="0">SUM(D12:Y12)</f>
        <v>40000</v>
      </c>
    </row>
    <row r="13" spans="1:29" ht="14.25" x14ac:dyDescent="0.15">
      <c r="A13" s="564"/>
      <c r="B13" s="542" t="s">
        <v>231</v>
      </c>
      <c r="C13" s="343" t="s">
        <v>29</v>
      </c>
      <c r="D13" s="187">
        <v>700</v>
      </c>
      <c r="E13" s="187">
        <v>700</v>
      </c>
      <c r="F13" s="187">
        <v>700</v>
      </c>
      <c r="G13" s="187"/>
      <c r="H13" s="187"/>
      <c r="I13" s="187">
        <v>700</v>
      </c>
      <c r="J13" s="187"/>
      <c r="K13" s="187">
        <v>700</v>
      </c>
      <c r="L13" s="187">
        <v>700</v>
      </c>
      <c r="M13" s="187">
        <v>700</v>
      </c>
      <c r="N13" s="187">
        <v>700</v>
      </c>
      <c r="O13" s="187"/>
      <c r="P13" s="187">
        <v>700</v>
      </c>
      <c r="Q13" s="187"/>
      <c r="R13" s="187"/>
      <c r="S13" s="187"/>
      <c r="T13" s="187"/>
      <c r="U13" s="187">
        <v>700</v>
      </c>
      <c r="V13" s="187"/>
      <c r="W13" s="187"/>
      <c r="X13" s="187"/>
      <c r="Y13" s="339"/>
      <c r="Z13" s="260">
        <f t="shared" si="0"/>
        <v>7000</v>
      </c>
    </row>
    <row r="14" spans="1:29" ht="14.25" x14ac:dyDescent="0.15">
      <c r="A14" s="564"/>
      <c r="B14" s="543"/>
      <c r="C14" s="344" t="s">
        <v>35</v>
      </c>
      <c r="D14" s="189"/>
      <c r="E14" s="189"/>
      <c r="F14" s="189"/>
      <c r="G14" s="189"/>
      <c r="H14" s="189"/>
      <c r="I14" s="189"/>
      <c r="J14" s="189">
        <v>1600</v>
      </c>
      <c r="K14" s="189"/>
      <c r="L14" s="189"/>
      <c r="M14" s="189"/>
      <c r="N14" s="189"/>
      <c r="O14" s="189">
        <v>1600</v>
      </c>
      <c r="P14" s="189"/>
      <c r="Q14" s="189"/>
      <c r="R14" s="189"/>
      <c r="S14" s="189"/>
      <c r="T14" s="189">
        <v>1600</v>
      </c>
      <c r="U14" s="189"/>
      <c r="V14" s="189">
        <v>1600</v>
      </c>
      <c r="W14" s="189">
        <v>1600</v>
      </c>
      <c r="X14" s="189"/>
      <c r="Y14" s="114"/>
      <c r="Z14" s="259">
        <f t="shared" si="0"/>
        <v>8000</v>
      </c>
    </row>
    <row r="15" spans="1:29" ht="14.25" x14ac:dyDescent="0.15">
      <c r="A15" s="564"/>
      <c r="B15" s="543"/>
      <c r="C15" s="345" t="s">
        <v>203</v>
      </c>
      <c r="D15" s="190"/>
      <c r="E15" s="190"/>
      <c r="F15" s="190"/>
      <c r="G15" s="189">
        <v>700</v>
      </c>
      <c r="H15" s="189">
        <v>700</v>
      </c>
      <c r="I15" s="190"/>
      <c r="J15" s="190"/>
      <c r="K15" s="190"/>
      <c r="L15" s="190"/>
      <c r="M15" s="190"/>
      <c r="N15" s="190"/>
      <c r="O15" s="190"/>
      <c r="P15" s="190"/>
      <c r="Q15" s="189">
        <v>700</v>
      </c>
      <c r="R15" s="189">
        <v>700</v>
      </c>
      <c r="S15" s="189">
        <v>700</v>
      </c>
      <c r="T15" s="190"/>
      <c r="U15" s="190"/>
      <c r="V15" s="190"/>
      <c r="W15" s="190"/>
      <c r="X15" s="190"/>
      <c r="Y15" s="340"/>
      <c r="Z15" s="259">
        <f t="shared" si="0"/>
        <v>3500</v>
      </c>
    </row>
    <row r="16" spans="1:29" ht="14.25" x14ac:dyDescent="0.15">
      <c r="A16" s="564"/>
      <c r="B16" s="544"/>
      <c r="C16" s="346" t="s">
        <v>27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340"/>
      <c r="Z16" s="261">
        <f t="shared" si="0"/>
        <v>0</v>
      </c>
    </row>
    <row r="17" spans="1:28" ht="14.25" x14ac:dyDescent="0.15">
      <c r="A17" s="564"/>
      <c r="B17" s="545" t="s">
        <v>22</v>
      </c>
      <c r="C17" s="546"/>
      <c r="D17" s="330">
        <f t="shared" ref="D17:W17" si="1">SUM(D12:D16)</f>
        <v>2700</v>
      </c>
      <c r="E17" s="330">
        <f t="shared" si="1"/>
        <v>2700</v>
      </c>
      <c r="F17" s="330">
        <f t="shared" si="1"/>
        <v>2700</v>
      </c>
      <c r="G17" s="330">
        <f t="shared" si="1"/>
        <v>2700</v>
      </c>
      <c r="H17" s="330">
        <f t="shared" si="1"/>
        <v>2700</v>
      </c>
      <c r="I17" s="330">
        <f t="shared" si="1"/>
        <v>2700</v>
      </c>
      <c r="J17" s="330">
        <f t="shared" si="1"/>
        <v>3600</v>
      </c>
      <c r="K17" s="330">
        <f t="shared" si="1"/>
        <v>2700</v>
      </c>
      <c r="L17" s="330">
        <f t="shared" si="1"/>
        <v>2700</v>
      </c>
      <c r="M17" s="330">
        <f t="shared" si="1"/>
        <v>2700</v>
      </c>
      <c r="N17" s="330">
        <f t="shared" si="1"/>
        <v>2700</v>
      </c>
      <c r="O17" s="330">
        <f t="shared" si="1"/>
        <v>3600</v>
      </c>
      <c r="P17" s="330">
        <f t="shared" si="1"/>
        <v>2700</v>
      </c>
      <c r="Q17" s="330">
        <f t="shared" si="1"/>
        <v>2700</v>
      </c>
      <c r="R17" s="330">
        <f t="shared" si="1"/>
        <v>2700</v>
      </c>
      <c r="S17" s="330">
        <f t="shared" si="1"/>
        <v>2700</v>
      </c>
      <c r="T17" s="330">
        <f t="shared" si="1"/>
        <v>3600</v>
      </c>
      <c r="U17" s="330">
        <f t="shared" si="1"/>
        <v>2700</v>
      </c>
      <c r="V17" s="330">
        <f t="shared" si="1"/>
        <v>3600</v>
      </c>
      <c r="W17" s="330">
        <f t="shared" si="1"/>
        <v>3600</v>
      </c>
      <c r="X17" s="209"/>
      <c r="Y17" s="340"/>
      <c r="Z17" s="267">
        <f t="shared" si="0"/>
        <v>58500</v>
      </c>
    </row>
    <row r="18" spans="1:28" ht="14.25" x14ac:dyDescent="0.15">
      <c r="A18" s="331"/>
      <c r="B18" s="331"/>
      <c r="C18" s="218"/>
      <c r="D18" s="270"/>
      <c r="E18" s="332"/>
      <c r="F18" s="270"/>
      <c r="G18" s="332"/>
      <c r="H18" s="332"/>
      <c r="I18" s="332"/>
      <c r="J18" s="332"/>
      <c r="K18" s="270"/>
      <c r="L18" s="332"/>
      <c r="M18" s="332"/>
      <c r="N18" s="270"/>
      <c r="O18" s="332"/>
      <c r="P18" s="270"/>
      <c r="Q18" s="332"/>
      <c r="R18" s="332"/>
      <c r="S18" s="332"/>
      <c r="T18" s="332"/>
      <c r="U18" s="332"/>
      <c r="V18" s="332"/>
      <c r="W18" s="332"/>
      <c r="X18" s="329"/>
      <c r="Y18" s="50"/>
      <c r="Z18" s="49"/>
    </row>
    <row r="19" spans="1:28" ht="14.25" x14ac:dyDescent="0.15">
      <c r="A19" s="565"/>
      <c r="B19" s="547" t="s">
        <v>32</v>
      </c>
      <c r="C19" s="453"/>
      <c r="D19" s="162">
        <v>21</v>
      </c>
      <c r="E19" s="162">
        <v>22</v>
      </c>
      <c r="F19" s="162">
        <v>23</v>
      </c>
      <c r="G19" s="162">
        <v>24</v>
      </c>
      <c r="H19" s="162">
        <v>25</v>
      </c>
      <c r="I19" s="162">
        <v>26</v>
      </c>
      <c r="J19" s="162">
        <v>27</v>
      </c>
      <c r="K19" s="162">
        <v>28</v>
      </c>
      <c r="L19" s="162">
        <v>29</v>
      </c>
      <c r="M19" s="162">
        <v>30</v>
      </c>
      <c r="N19" s="162">
        <v>31</v>
      </c>
      <c r="O19" s="162">
        <v>32</v>
      </c>
      <c r="P19" s="162">
        <v>33</v>
      </c>
      <c r="Q19" s="162">
        <v>34</v>
      </c>
      <c r="R19" s="162">
        <v>35</v>
      </c>
      <c r="S19" s="162">
        <v>36</v>
      </c>
      <c r="T19" s="162">
        <v>37</v>
      </c>
      <c r="U19" s="162">
        <v>38</v>
      </c>
      <c r="V19" s="162">
        <v>39</v>
      </c>
      <c r="W19" s="162">
        <v>40</v>
      </c>
      <c r="X19" s="162"/>
      <c r="Y19" s="211"/>
      <c r="Z19" s="14" t="s">
        <v>28</v>
      </c>
    </row>
    <row r="20" spans="1:28" ht="14.25" x14ac:dyDescent="0.15">
      <c r="A20" s="565"/>
      <c r="B20" s="548" t="s">
        <v>25</v>
      </c>
      <c r="C20" s="549"/>
      <c r="D20" s="242" t="s">
        <v>248</v>
      </c>
      <c r="E20" s="242" t="s">
        <v>249</v>
      </c>
      <c r="F20" s="242" t="s">
        <v>138</v>
      </c>
      <c r="G20" s="242" t="s">
        <v>178</v>
      </c>
      <c r="H20" s="242" t="s">
        <v>250</v>
      </c>
      <c r="I20" s="242" t="s">
        <v>195</v>
      </c>
      <c r="J20" s="242" t="s">
        <v>251</v>
      </c>
      <c r="K20" s="242" t="s">
        <v>149</v>
      </c>
      <c r="L20" s="242" t="s">
        <v>252</v>
      </c>
      <c r="M20" s="242" t="s">
        <v>221</v>
      </c>
      <c r="N20" s="242" t="s">
        <v>224</v>
      </c>
      <c r="O20" s="242" t="s">
        <v>150</v>
      </c>
      <c r="P20" s="242" t="s">
        <v>253</v>
      </c>
      <c r="Q20" s="242" t="s">
        <v>197</v>
      </c>
      <c r="R20" s="242" t="s">
        <v>198</v>
      </c>
      <c r="S20" s="242" t="s">
        <v>141</v>
      </c>
      <c r="T20" s="242" t="s">
        <v>254</v>
      </c>
      <c r="U20" s="242" t="s">
        <v>188</v>
      </c>
      <c r="V20" s="242" t="s">
        <v>255</v>
      </c>
      <c r="W20" s="242"/>
      <c r="X20" s="242"/>
      <c r="Y20" s="334"/>
      <c r="Z20" s="243"/>
    </row>
    <row r="21" spans="1:28" ht="14.25" x14ac:dyDescent="0.15">
      <c r="A21" s="565"/>
      <c r="B21" s="550" t="s">
        <v>24</v>
      </c>
      <c r="C21" s="551"/>
      <c r="D21" s="194">
        <v>0.54166666666666663</v>
      </c>
      <c r="E21" s="194">
        <v>0.33333333333333331</v>
      </c>
      <c r="F21" s="194">
        <v>0.33333333333333331</v>
      </c>
      <c r="G21" s="194">
        <v>0.33333333333333331</v>
      </c>
      <c r="H21" s="194">
        <v>0.375</v>
      </c>
      <c r="I21" s="194">
        <v>0.33333333333333331</v>
      </c>
      <c r="J21" s="194">
        <v>0.66666666666666663</v>
      </c>
      <c r="K21" s="194">
        <v>0.29166666666666669</v>
      </c>
      <c r="L21" s="194">
        <v>0.33333333333333331</v>
      </c>
      <c r="M21" s="194">
        <v>0.33333333333333331</v>
      </c>
      <c r="N21" s="194">
        <v>0.375</v>
      </c>
      <c r="O21" s="194">
        <v>0.29166666666666669</v>
      </c>
      <c r="P21" s="194">
        <v>0.29166666666666669</v>
      </c>
      <c r="Q21" s="194">
        <v>0.66666666666666663</v>
      </c>
      <c r="R21" s="194">
        <v>0.66666666666666663</v>
      </c>
      <c r="S21" s="194">
        <v>0.29166666666666669</v>
      </c>
      <c r="T21" s="194">
        <v>0.33333333333333331</v>
      </c>
      <c r="U21" s="194">
        <v>0.29166666666666669</v>
      </c>
      <c r="V21" s="194">
        <v>0.33333333333333331</v>
      </c>
      <c r="W21" s="194"/>
      <c r="X21" s="194"/>
      <c r="Y21" s="335"/>
      <c r="Z21" s="335"/>
    </row>
    <row r="22" spans="1:28" ht="15.75" x14ac:dyDescent="0.15">
      <c r="A22" s="565"/>
      <c r="B22" s="552"/>
      <c r="C22" s="553"/>
      <c r="D22" s="195" t="s">
        <v>4</v>
      </c>
      <c r="E22" s="195" t="s">
        <v>4</v>
      </c>
      <c r="F22" s="195" t="s">
        <v>4</v>
      </c>
      <c r="G22" s="195" t="s">
        <v>4</v>
      </c>
      <c r="H22" s="195" t="s">
        <v>4</v>
      </c>
      <c r="I22" s="195" t="s">
        <v>4</v>
      </c>
      <c r="J22" s="195" t="s">
        <v>4</v>
      </c>
      <c r="K22" s="195" t="s">
        <v>4</v>
      </c>
      <c r="L22" s="195" t="s">
        <v>4</v>
      </c>
      <c r="M22" s="195" t="s">
        <v>4</v>
      </c>
      <c r="N22" s="195" t="s">
        <v>4</v>
      </c>
      <c r="O22" s="195" t="s">
        <v>4</v>
      </c>
      <c r="P22" s="195" t="s">
        <v>4</v>
      </c>
      <c r="Q22" s="195" t="s">
        <v>4</v>
      </c>
      <c r="R22" s="195" t="s">
        <v>4</v>
      </c>
      <c r="S22" s="195" t="s">
        <v>4</v>
      </c>
      <c r="T22" s="195" t="s">
        <v>4</v>
      </c>
      <c r="U22" s="195" t="s">
        <v>4</v>
      </c>
      <c r="V22" s="195" t="s">
        <v>4</v>
      </c>
      <c r="W22" s="195"/>
      <c r="X22" s="195"/>
      <c r="Y22" s="195"/>
      <c r="Z22" s="45"/>
    </row>
    <row r="23" spans="1:28" ht="14.25" x14ac:dyDescent="0.15">
      <c r="A23" s="565"/>
      <c r="B23" s="540"/>
      <c r="C23" s="541"/>
      <c r="D23" s="197">
        <v>0.625</v>
      </c>
      <c r="E23" s="197">
        <v>0.41666666666666669</v>
      </c>
      <c r="F23" s="197">
        <v>0.41666666666666669</v>
      </c>
      <c r="G23" s="197">
        <v>0.41666666666666669</v>
      </c>
      <c r="H23" s="197">
        <v>0.45833333333333331</v>
      </c>
      <c r="I23" s="197">
        <v>0.41666666666666669</v>
      </c>
      <c r="J23" s="197">
        <v>0.75</v>
      </c>
      <c r="K23" s="197">
        <v>0.375</v>
      </c>
      <c r="L23" s="197">
        <v>0.41666666666666669</v>
      </c>
      <c r="M23" s="197">
        <v>0.41666666666666669</v>
      </c>
      <c r="N23" s="197">
        <v>0.45833333333333331</v>
      </c>
      <c r="O23" s="197">
        <v>0.375</v>
      </c>
      <c r="P23" s="197">
        <v>0.375</v>
      </c>
      <c r="Q23" s="197">
        <v>0.75</v>
      </c>
      <c r="R23" s="197">
        <v>0.75</v>
      </c>
      <c r="S23" s="197">
        <v>0.375</v>
      </c>
      <c r="T23" s="197">
        <v>0.41666666666666669</v>
      </c>
      <c r="U23" s="197">
        <v>0.375</v>
      </c>
      <c r="V23" s="197">
        <v>0.41666666666666669</v>
      </c>
      <c r="W23" s="197"/>
      <c r="X23" s="197"/>
      <c r="Y23" s="336"/>
      <c r="Z23" s="426"/>
    </row>
    <row r="24" spans="1:28" ht="14.25" x14ac:dyDescent="0.15">
      <c r="A24" s="565"/>
      <c r="B24" s="545" t="s">
        <v>5</v>
      </c>
      <c r="C24" s="546"/>
      <c r="D24" s="199">
        <v>2</v>
      </c>
      <c r="E24" s="199">
        <v>2</v>
      </c>
      <c r="F24" s="199">
        <v>2</v>
      </c>
      <c r="G24" s="199">
        <v>2</v>
      </c>
      <c r="H24" s="199">
        <v>2</v>
      </c>
      <c r="I24" s="199">
        <v>2</v>
      </c>
      <c r="J24" s="199">
        <v>2</v>
      </c>
      <c r="K24" s="199">
        <v>2</v>
      </c>
      <c r="L24" s="199">
        <v>2</v>
      </c>
      <c r="M24" s="199">
        <v>2</v>
      </c>
      <c r="N24" s="199">
        <v>2</v>
      </c>
      <c r="O24" s="199">
        <v>2</v>
      </c>
      <c r="P24" s="199">
        <v>2</v>
      </c>
      <c r="Q24" s="199">
        <v>2</v>
      </c>
      <c r="R24" s="199">
        <v>2</v>
      </c>
      <c r="S24" s="199">
        <v>2</v>
      </c>
      <c r="T24" s="199">
        <v>2</v>
      </c>
      <c r="U24" s="199">
        <v>2</v>
      </c>
      <c r="V24" s="199">
        <v>2</v>
      </c>
      <c r="W24" s="199"/>
      <c r="X24" s="199"/>
      <c r="Y24" s="337"/>
      <c r="Z24" s="199" t="s">
        <v>288</v>
      </c>
    </row>
    <row r="25" spans="1:28" ht="55.5" customHeight="1" x14ac:dyDescent="0.15">
      <c r="A25" s="565"/>
      <c r="B25" s="554" t="s">
        <v>15</v>
      </c>
      <c r="C25" s="555"/>
      <c r="D25" s="294" t="s">
        <v>206</v>
      </c>
      <c r="E25" s="200" t="s">
        <v>44</v>
      </c>
      <c r="F25" s="200" t="s">
        <v>44</v>
      </c>
      <c r="G25" s="200" t="s">
        <v>44</v>
      </c>
      <c r="H25" s="200" t="s">
        <v>44</v>
      </c>
      <c r="I25" s="200" t="s">
        <v>44</v>
      </c>
      <c r="J25" s="200" t="s">
        <v>44</v>
      </c>
      <c r="K25" s="200" t="s">
        <v>44</v>
      </c>
      <c r="L25" s="200" t="s">
        <v>44</v>
      </c>
      <c r="M25" s="200" t="s">
        <v>44</v>
      </c>
      <c r="N25" s="200" t="s">
        <v>44</v>
      </c>
      <c r="O25" s="200" t="s">
        <v>44</v>
      </c>
      <c r="P25" s="200" t="s">
        <v>44</v>
      </c>
      <c r="Q25" s="200" t="s">
        <v>44</v>
      </c>
      <c r="R25" s="200" t="s">
        <v>44</v>
      </c>
      <c r="S25" s="200" t="s">
        <v>44</v>
      </c>
      <c r="T25" s="200" t="s">
        <v>44</v>
      </c>
      <c r="U25" s="200" t="s">
        <v>44</v>
      </c>
      <c r="V25" s="200" t="s">
        <v>44</v>
      </c>
      <c r="W25" s="200"/>
      <c r="X25" s="200"/>
      <c r="Y25" s="338"/>
      <c r="Z25" s="342"/>
    </row>
    <row r="26" spans="1:28" ht="14.25" x14ac:dyDescent="0.15">
      <c r="A26" s="553"/>
      <c r="B26" s="540" t="s">
        <v>26</v>
      </c>
      <c r="C26" s="541"/>
      <c r="D26" s="186">
        <v>2000</v>
      </c>
      <c r="E26" s="186">
        <v>2000</v>
      </c>
      <c r="F26" s="186">
        <v>2000</v>
      </c>
      <c r="G26" s="186">
        <v>2000</v>
      </c>
      <c r="H26" s="186">
        <v>2000</v>
      </c>
      <c r="I26" s="186">
        <v>2000</v>
      </c>
      <c r="J26" s="186">
        <v>2000</v>
      </c>
      <c r="K26" s="186">
        <v>2000</v>
      </c>
      <c r="L26" s="186">
        <v>2000</v>
      </c>
      <c r="M26" s="186">
        <v>2000</v>
      </c>
      <c r="N26" s="186">
        <v>2000</v>
      </c>
      <c r="O26" s="186">
        <v>2000</v>
      </c>
      <c r="P26" s="186">
        <v>2000</v>
      </c>
      <c r="Q26" s="186">
        <v>2000</v>
      </c>
      <c r="R26" s="186">
        <v>2000</v>
      </c>
      <c r="S26" s="186">
        <v>2000</v>
      </c>
      <c r="T26" s="186">
        <v>2000</v>
      </c>
      <c r="U26" s="186">
        <v>2000</v>
      </c>
      <c r="V26" s="186">
        <v>2000</v>
      </c>
      <c r="W26" s="186"/>
      <c r="X26" s="186"/>
      <c r="Y26" s="339"/>
      <c r="Z26" s="256">
        <f t="shared" ref="Z26:Z31" si="2">SUM(D26:Y26)</f>
        <v>38000</v>
      </c>
    </row>
    <row r="27" spans="1:28" ht="14.25" x14ac:dyDescent="0.15">
      <c r="A27" s="553"/>
      <c r="B27" s="542" t="s">
        <v>231</v>
      </c>
      <c r="C27" s="343" t="s">
        <v>29</v>
      </c>
      <c r="D27" s="187"/>
      <c r="E27" s="187">
        <v>700</v>
      </c>
      <c r="F27" s="187"/>
      <c r="G27" s="187">
        <v>700</v>
      </c>
      <c r="H27" s="187"/>
      <c r="I27" s="187">
        <v>700</v>
      </c>
      <c r="J27" s="187">
        <v>700</v>
      </c>
      <c r="K27" s="187">
        <v>700</v>
      </c>
      <c r="L27" s="187">
        <v>700</v>
      </c>
      <c r="M27" s="187"/>
      <c r="N27" s="187">
        <v>700</v>
      </c>
      <c r="O27" s="187">
        <v>700</v>
      </c>
      <c r="P27" s="187">
        <v>700</v>
      </c>
      <c r="Q27" s="187">
        <v>700</v>
      </c>
      <c r="R27" s="187">
        <v>700</v>
      </c>
      <c r="S27" s="187"/>
      <c r="T27" s="187">
        <v>700</v>
      </c>
      <c r="U27" s="187">
        <v>700</v>
      </c>
      <c r="V27" s="187">
        <v>700</v>
      </c>
      <c r="W27" s="187"/>
      <c r="X27" s="187"/>
      <c r="Y27" s="339"/>
      <c r="Z27" s="260">
        <f t="shared" si="2"/>
        <v>9800</v>
      </c>
    </row>
    <row r="28" spans="1:28" ht="14.25" x14ac:dyDescent="0.15">
      <c r="A28" s="553"/>
      <c r="B28" s="543"/>
      <c r="C28" s="344" t="s">
        <v>35</v>
      </c>
      <c r="D28" s="189"/>
      <c r="E28" s="189"/>
      <c r="F28" s="189">
        <v>1600</v>
      </c>
      <c r="G28" s="189"/>
      <c r="H28" s="189">
        <v>1600</v>
      </c>
      <c r="I28" s="189"/>
      <c r="J28" s="189"/>
      <c r="K28" s="189"/>
      <c r="L28" s="189"/>
      <c r="M28" s="189">
        <v>1600</v>
      </c>
      <c r="N28" s="189"/>
      <c r="O28" s="189"/>
      <c r="P28" s="189"/>
      <c r="Q28" s="189"/>
      <c r="R28" s="189"/>
      <c r="S28" s="189">
        <v>1600</v>
      </c>
      <c r="T28" s="189"/>
      <c r="U28" s="189"/>
      <c r="V28" s="189"/>
      <c r="W28" s="189"/>
      <c r="X28" s="189"/>
      <c r="Y28" s="114"/>
      <c r="Z28" s="259">
        <f t="shared" si="2"/>
        <v>6400</v>
      </c>
    </row>
    <row r="29" spans="1:28" ht="14.25" x14ac:dyDescent="0.15">
      <c r="A29" s="553"/>
      <c r="B29" s="543"/>
      <c r="C29" s="345" t="s">
        <v>203</v>
      </c>
      <c r="D29" s="189">
        <v>700</v>
      </c>
      <c r="E29" s="189"/>
      <c r="F29" s="189"/>
      <c r="G29" s="189"/>
      <c r="H29" s="189"/>
      <c r="I29" s="189"/>
      <c r="J29" s="189"/>
      <c r="K29" s="189"/>
      <c r="L29" s="189"/>
      <c r="M29" s="189"/>
      <c r="N29" s="190"/>
      <c r="O29" s="190"/>
      <c r="P29" s="189"/>
      <c r="Q29" s="189"/>
      <c r="R29" s="190"/>
      <c r="S29" s="190"/>
      <c r="T29" s="190"/>
      <c r="U29" s="190"/>
      <c r="V29" s="190"/>
      <c r="W29" s="190"/>
      <c r="X29" s="190"/>
      <c r="Y29" s="340"/>
      <c r="Z29" s="259">
        <f t="shared" si="2"/>
        <v>700</v>
      </c>
    </row>
    <row r="30" spans="1:28" ht="14.25" x14ac:dyDescent="0.15">
      <c r="A30" s="553"/>
      <c r="B30" s="544"/>
      <c r="C30" s="346" t="s">
        <v>27</v>
      </c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340"/>
      <c r="Z30" s="259">
        <f t="shared" si="2"/>
        <v>0</v>
      </c>
    </row>
    <row r="31" spans="1:28" ht="14.25" x14ac:dyDescent="0.15">
      <c r="A31" s="553"/>
      <c r="B31" s="545" t="s">
        <v>22</v>
      </c>
      <c r="C31" s="546"/>
      <c r="D31" s="330">
        <f t="shared" ref="D31:V31" si="3">SUM(D26:D30)</f>
        <v>2700</v>
      </c>
      <c r="E31" s="330">
        <f t="shared" si="3"/>
        <v>2700</v>
      </c>
      <c r="F31" s="330">
        <f t="shared" si="3"/>
        <v>3600</v>
      </c>
      <c r="G31" s="330">
        <f t="shared" si="3"/>
        <v>2700</v>
      </c>
      <c r="H31" s="330">
        <f t="shared" si="3"/>
        <v>3600</v>
      </c>
      <c r="I31" s="330">
        <f t="shared" si="3"/>
        <v>2700</v>
      </c>
      <c r="J31" s="330">
        <f t="shared" si="3"/>
        <v>2700</v>
      </c>
      <c r="K31" s="330">
        <f t="shared" si="3"/>
        <v>2700</v>
      </c>
      <c r="L31" s="330">
        <f t="shared" si="3"/>
        <v>2700</v>
      </c>
      <c r="M31" s="330">
        <f t="shared" si="3"/>
        <v>3600</v>
      </c>
      <c r="N31" s="330">
        <f t="shared" si="3"/>
        <v>2700</v>
      </c>
      <c r="O31" s="330">
        <f t="shared" si="3"/>
        <v>2700</v>
      </c>
      <c r="P31" s="330">
        <f t="shared" si="3"/>
        <v>2700</v>
      </c>
      <c r="Q31" s="330">
        <f t="shared" si="3"/>
        <v>2700</v>
      </c>
      <c r="R31" s="330">
        <f t="shared" si="3"/>
        <v>2700</v>
      </c>
      <c r="S31" s="330">
        <f t="shared" si="3"/>
        <v>3600</v>
      </c>
      <c r="T31" s="330">
        <f t="shared" si="3"/>
        <v>2700</v>
      </c>
      <c r="U31" s="330">
        <f t="shared" si="3"/>
        <v>2700</v>
      </c>
      <c r="V31" s="330">
        <f t="shared" si="3"/>
        <v>2700</v>
      </c>
      <c r="W31" s="209"/>
      <c r="X31" s="209"/>
      <c r="Y31" s="340"/>
      <c r="Z31" s="348">
        <f t="shared" si="2"/>
        <v>54900</v>
      </c>
    </row>
    <row r="32" spans="1:28" ht="15" thickBot="1" x14ac:dyDescent="0.2">
      <c r="A32" s="12"/>
      <c r="B32" s="12"/>
      <c r="C32" s="224"/>
      <c r="D32" s="347"/>
      <c r="E32" s="347"/>
      <c r="F32" s="347"/>
      <c r="G32" s="333"/>
      <c r="H32" s="347"/>
      <c r="I32" s="347"/>
      <c r="J32" s="333"/>
      <c r="K32" s="347"/>
      <c r="L32" s="347"/>
      <c r="M32" s="333"/>
      <c r="N32" s="347"/>
      <c r="O32" s="333"/>
      <c r="P32" s="347"/>
      <c r="Q32" s="333"/>
      <c r="R32" s="347"/>
      <c r="S32" s="333"/>
      <c r="T32" s="347"/>
      <c r="U32" s="333"/>
      <c r="V32" s="347"/>
      <c r="W32" s="347"/>
      <c r="X32" s="347"/>
      <c r="Y32" s="50"/>
      <c r="Z32" s="111"/>
      <c r="AB32" s="423"/>
    </row>
    <row r="33" spans="15:26" ht="21.75" thickBot="1" x14ac:dyDescent="0.2">
      <c r="O33" s="566" t="s">
        <v>237</v>
      </c>
      <c r="P33" s="566"/>
      <c r="Q33" s="566"/>
      <c r="R33" s="354" t="s">
        <v>122</v>
      </c>
      <c r="S33" s="354"/>
      <c r="T33" s="354"/>
      <c r="V33" s="349"/>
      <c r="W33" s="569" t="s">
        <v>233</v>
      </c>
      <c r="X33" s="570"/>
      <c r="Y33" s="559">
        <f>Z12+Z26</f>
        <v>78000</v>
      </c>
      <c r="Z33" s="560"/>
    </row>
    <row r="34" spans="15:26" ht="21.75" thickBot="1" x14ac:dyDescent="0.2">
      <c r="P34" s="567" t="s">
        <v>236</v>
      </c>
      <c r="Q34" s="567"/>
      <c r="R34" t="s">
        <v>123</v>
      </c>
      <c r="V34" s="349"/>
      <c r="W34" s="569" t="s">
        <v>232</v>
      </c>
      <c r="X34" s="570"/>
      <c r="Y34" s="561">
        <f>Z13+Z14+Z15+Z16+Z27+Z28+Z29+Z30</f>
        <v>35400</v>
      </c>
      <c r="Z34" s="562"/>
    </row>
    <row r="35" spans="15:26" ht="21.75" thickBot="1" x14ac:dyDescent="0.2">
      <c r="R35" t="s">
        <v>124</v>
      </c>
      <c r="V35" s="349"/>
      <c r="W35" s="557" t="s">
        <v>234</v>
      </c>
      <c r="X35" s="558"/>
      <c r="Y35" s="559">
        <f>Y33+Y34</f>
        <v>113400</v>
      </c>
      <c r="Z35" s="560"/>
    </row>
    <row r="36" spans="15:26" ht="14.25" x14ac:dyDescent="0.15">
      <c r="R36" t="s">
        <v>121</v>
      </c>
      <c r="V36" s="333"/>
      <c r="W36" s="333"/>
      <c r="X36" s="333"/>
      <c r="Y36" s="50"/>
      <c r="Z36" s="50"/>
    </row>
    <row r="37" spans="15:26" ht="20.25" customHeight="1" thickBot="1" x14ac:dyDescent="0.2">
      <c r="V37" s="333"/>
      <c r="W37" s="333"/>
      <c r="X37" s="333"/>
      <c r="Y37" s="572" t="s">
        <v>278</v>
      </c>
      <c r="Z37" s="573"/>
    </row>
    <row r="38" spans="15:26" ht="14.25" x14ac:dyDescent="0.15">
      <c r="V38" s="333"/>
      <c r="W38" s="333"/>
      <c r="X38" s="349"/>
      <c r="Y38" s="50"/>
      <c r="Z38" s="420"/>
    </row>
    <row r="39" spans="15:26" ht="14.25" x14ac:dyDescent="0.15">
      <c r="V39" s="333"/>
      <c r="W39" s="333"/>
      <c r="X39" s="349"/>
      <c r="Y39" s="50"/>
      <c r="Z39" s="421"/>
    </row>
    <row r="40" spans="15:26" ht="14.25" x14ac:dyDescent="0.15">
      <c r="V40" s="333"/>
      <c r="W40" s="333"/>
      <c r="X40" s="349"/>
      <c r="Y40" s="50"/>
      <c r="Z40" s="421"/>
    </row>
    <row r="41" spans="15:26" x14ac:dyDescent="0.15">
      <c r="X41" s="422"/>
      <c r="Z41" s="422"/>
    </row>
    <row r="42" spans="15:26" ht="14.25" thickBot="1" x14ac:dyDescent="0.2">
      <c r="X42" s="422"/>
      <c r="Z42" s="422"/>
    </row>
    <row r="43" spans="15:26" x14ac:dyDescent="0.15">
      <c r="Y43" s="309"/>
      <c r="Z43" s="309"/>
    </row>
  </sheetData>
  <mergeCells count="36">
    <mergeCell ref="Y37:Z37"/>
    <mergeCell ref="V3:X3"/>
    <mergeCell ref="D2:F2"/>
    <mergeCell ref="G2:I2"/>
    <mergeCell ref="V2:W2"/>
    <mergeCell ref="Y2:Z2"/>
    <mergeCell ref="K3:M3"/>
    <mergeCell ref="O3:Q3"/>
    <mergeCell ref="Y33:Z33"/>
    <mergeCell ref="P34:Q34"/>
    <mergeCell ref="W34:X34"/>
    <mergeCell ref="Y34:Z34"/>
    <mergeCell ref="W35:X35"/>
    <mergeCell ref="Y35:Z35"/>
    <mergeCell ref="W33:X33"/>
    <mergeCell ref="A5:A11"/>
    <mergeCell ref="B5:C5"/>
    <mergeCell ref="B6:C6"/>
    <mergeCell ref="B7:C9"/>
    <mergeCell ref="B10:C10"/>
    <mergeCell ref="B11:C11"/>
    <mergeCell ref="A12:A17"/>
    <mergeCell ref="B12:C12"/>
    <mergeCell ref="B13:B16"/>
    <mergeCell ref="B17:C17"/>
    <mergeCell ref="A19:A25"/>
    <mergeCell ref="B19:C19"/>
    <mergeCell ref="B20:C20"/>
    <mergeCell ref="B21:C23"/>
    <mergeCell ref="B24:C24"/>
    <mergeCell ref="B25:C25"/>
    <mergeCell ref="A26:A31"/>
    <mergeCell ref="B26:C26"/>
    <mergeCell ref="B27:B30"/>
    <mergeCell ref="B31:C31"/>
    <mergeCell ref="O33:Q33"/>
  </mergeCells>
  <phoneticPr fontId="1"/>
  <pageMargins left="0" right="0" top="1.1417322834645669" bottom="0" header="0.31496062992125984" footer="0.31496062992125984"/>
  <pageSetup paperSize="9" scale="7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4BB6-078A-4388-8EC4-4D89C0D48709}">
  <sheetPr>
    <tabColor theme="9" tint="0.59999389629810485"/>
  </sheetPr>
  <dimension ref="A2:AC40"/>
  <sheetViews>
    <sheetView topLeftCell="A10" workbookViewId="0">
      <selection activeCell="AE13" sqref="AE13"/>
    </sheetView>
  </sheetViews>
  <sheetFormatPr defaultRowHeight="13.5" x14ac:dyDescent="0.15"/>
  <cols>
    <col min="1" max="1" width="4" customWidth="1"/>
    <col min="3" max="3" width="14.25" customWidth="1"/>
    <col min="12" max="13" width="6.75" customWidth="1"/>
    <col min="14" max="22" width="4.875" customWidth="1"/>
    <col min="23" max="23" width="8" customWidth="1"/>
    <col min="24" max="24" width="7.875" customWidth="1"/>
    <col min="25" max="25" width="2" customWidth="1"/>
    <col min="27" max="27" width="1" customWidth="1"/>
    <col min="28" max="28" width="11.125" customWidth="1"/>
    <col min="29" max="29" width="1" customWidth="1"/>
  </cols>
  <sheetData>
    <row r="2" spans="1:29" ht="21" x14ac:dyDescent="0.15">
      <c r="A2" s="66"/>
      <c r="B2" s="66"/>
      <c r="C2" s="341"/>
      <c r="D2" s="503" t="s">
        <v>229</v>
      </c>
      <c r="E2" s="503"/>
      <c r="F2" s="503"/>
      <c r="G2" s="503" t="s">
        <v>230</v>
      </c>
      <c r="H2" s="503"/>
      <c r="I2" s="503"/>
      <c r="Q2" s="11"/>
      <c r="R2" s="11"/>
      <c r="S2" s="11"/>
      <c r="T2" s="96"/>
      <c r="U2" s="39"/>
      <c r="V2" s="528"/>
      <c r="W2" s="529"/>
      <c r="X2" s="39"/>
      <c r="Y2" s="528"/>
      <c r="Z2" s="528"/>
    </row>
    <row r="3" spans="1:29" ht="28.5" x14ac:dyDescent="0.15">
      <c r="A3" s="66"/>
      <c r="B3" s="66"/>
      <c r="C3" s="12"/>
      <c r="D3" s="81" t="s">
        <v>279</v>
      </c>
      <c r="E3" s="73"/>
      <c r="F3" s="73"/>
      <c r="G3" s="73"/>
      <c r="H3" s="73"/>
      <c r="I3" s="73"/>
      <c r="J3" s="81"/>
      <c r="K3" s="568" t="s">
        <v>259</v>
      </c>
      <c r="L3" s="568"/>
      <c r="M3" s="568"/>
      <c r="N3" s="11"/>
      <c r="O3" s="424" t="s">
        <v>173</v>
      </c>
      <c r="P3" s="424"/>
      <c r="Q3" s="424"/>
      <c r="R3" s="11"/>
      <c r="S3" s="11"/>
      <c r="T3" s="11"/>
      <c r="U3" s="11"/>
      <c r="V3" s="556" t="s">
        <v>282</v>
      </c>
      <c r="W3" s="571"/>
      <c r="X3" s="571"/>
      <c r="Y3" s="11"/>
      <c r="Z3" s="11"/>
      <c r="AA3" s="82"/>
    </row>
    <row r="4" spans="1:29" ht="14.25" x14ac:dyDescent="0.15">
      <c r="A4" s="207"/>
      <c r="B4" s="20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07"/>
      <c r="Z4" s="217"/>
    </row>
    <row r="5" spans="1:29" ht="18.75" customHeight="1" x14ac:dyDescent="0.15">
      <c r="A5" s="553"/>
      <c r="B5" s="547" t="s">
        <v>32</v>
      </c>
      <c r="C5" s="453"/>
      <c r="D5" s="162">
        <v>1</v>
      </c>
      <c r="E5" s="162">
        <v>2</v>
      </c>
      <c r="F5" s="162">
        <v>3</v>
      </c>
      <c r="G5" s="162">
        <v>4</v>
      </c>
      <c r="H5" s="162">
        <v>5</v>
      </c>
      <c r="I5" s="162">
        <v>6</v>
      </c>
      <c r="J5" s="162">
        <v>7</v>
      </c>
      <c r="K5" s="162">
        <v>8</v>
      </c>
      <c r="L5" s="162">
        <v>9</v>
      </c>
      <c r="M5" s="162">
        <v>10</v>
      </c>
      <c r="N5" s="162">
        <v>11</v>
      </c>
      <c r="O5" s="162">
        <v>12</v>
      </c>
      <c r="P5" s="162">
        <v>13</v>
      </c>
      <c r="Q5" s="162">
        <v>14</v>
      </c>
      <c r="R5" s="162">
        <v>15</v>
      </c>
      <c r="S5" s="162">
        <v>16</v>
      </c>
      <c r="T5" s="162">
        <v>17</v>
      </c>
      <c r="U5" s="162">
        <v>18</v>
      </c>
      <c r="V5" s="162">
        <v>19</v>
      </c>
      <c r="W5" s="162">
        <v>20</v>
      </c>
      <c r="X5" s="162"/>
      <c r="Y5" s="211"/>
      <c r="Z5" s="162" t="s">
        <v>9</v>
      </c>
    </row>
    <row r="6" spans="1:29" ht="18.75" customHeight="1" x14ac:dyDescent="0.15">
      <c r="A6" s="553"/>
      <c r="B6" s="548" t="s">
        <v>25</v>
      </c>
      <c r="C6" s="549"/>
      <c r="D6" s="242" t="s">
        <v>157</v>
      </c>
      <c r="E6" s="242" t="s">
        <v>146</v>
      </c>
      <c r="F6" s="242" t="s">
        <v>130</v>
      </c>
      <c r="G6" s="242" t="s">
        <v>168</v>
      </c>
      <c r="H6" s="242" t="s">
        <v>260</v>
      </c>
      <c r="I6" s="242" t="s">
        <v>149</v>
      </c>
      <c r="J6" s="242" t="s">
        <v>164</v>
      </c>
      <c r="K6" s="242" t="s">
        <v>221</v>
      </c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334"/>
      <c r="Z6" s="537"/>
      <c r="AA6" s="244"/>
      <c r="AB6" s="244"/>
      <c r="AC6" s="244"/>
    </row>
    <row r="7" spans="1:29" ht="18.75" customHeight="1" x14ac:dyDescent="0.15">
      <c r="A7" s="553"/>
      <c r="B7" s="550" t="s">
        <v>24</v>
      </c>
      <c r="C7" s="551"/>
      <c r="D7" s="194">
        <v>0.33333333333333331</v>
      </c>
      <c r="E7" s="194">
        <v>0.33333333333333331</v>
      </c>
      <c r="F7" s="194">
        <v>0.375</v>
      </c>
      <c r="G7" s="194">
        <v>0.375</v>
      </c>
      <c r="H7" s="194">
        <v>0.33333333333333331</v>
      </c>
      <c r="I7" s="194">
        <v>0.33333333333333331</v>
      </c>
      <c r="J7" s="194">
        <v>0.29166666666666669</v>
      </c>
      <c r="K7" s="194">
        <v>0.33333333333333331</v>
      </c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335"/>
      <c r="Z7" s="538"/>
    </row>
    <row r="8" spans="1:29" ht="18.75" customHeight="1" x14ac:dyDescent="0.15">
      <c r="A8" s="553"/>
      <c r="B8" s="552"/>
      <c r="C8" s="553"/>
      <c r="D8" s="195" t="s">
        <v>4</v>
      </c>
      <c r="E8" s="195" t="s">
        <v>4</v>
      </c>
      <c r="F8" s="195" t="s">
        <v>4</v>
      </c>
      <c r="G8" s="195" t="s">
        <v>4</v>
      </c>
      <c r="H8" s="195" t="s">
        <v>4</v>
      </c>
      <c r="I8" s="195" t="s">
        <v>4</v>
      </c>
      <c r="J8" s="195" t="s">
        <v>4</v>
      </c>
      <c r="K8" s="195" t="s">
        <v>4</v>
      </c>
      <c r="L8" s="195"/>
      <c r="M8" s="195"/>
      <c r="N8" s="195"/>
      <c r="O8" s="195"/>
      <c r="P8" s="195"/>
      <c r="Q8" s="196"/>
      <c r="R8" s="196"/>
      <c r="S8" s="196"/>
      <c r="T8" s="196"/>
      <c r="U8" s="196"/>
      <c r="V8" s="196"/>
      <c r="W8" s="196"/>
      <c r="X8" s="195"/>
      <c r="Y8" s="195"/>
      <c r="Z8" s="538"/>
    </row>
    <row r="9" spans="1:29" ht="18.75" customHeight="1" x14ac:dyDescent="0.15">
      <c r="A9" s="553"/>
      <c r="B9" s="540"/>
      <c r="C9" s="541"/>
      <c r="D9" s="197">
        <v>0.41666666666666669</v>
      </c>
      <c r="E9" s="197">
        <v>0.375</v>
      </c>
      <c r="F9" s="197">
        <v>0.41666666666666669</v>
      </c>
      <c r="G9" s="197">
        <v>0.41666666666666669</v>
      </c>
      <c r="H9" s="197">
        <v>0.375</v>
      </c>
      <c r="I9" s="197">
        <v>0.375</v>
      </c>
      <c r="J9" s="197">
        <v>0.33333333333333331</v>
      </c>
      <c r="K9" s="197">
        <v>0.41666666666666669</v>
      </c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336"/>
      <c r="Z9" s="538"/>
    </row>
    <row r="10" spans="1:29" ht="18.75" customHeight="1" x14ac:dyDescent="0.15">
      <c r="A10" s="553"/>
      <c r="B10" s="545" t="s">
        <v>5</v>
      </c>
      <c r="C10" s="546"/>
      <c r="D10" s="199">
        <v>2</v>
      </c>
      <c r="E10" s="199">
        <v>1</v>
      </c>
      <c r="F10" s="199">
        <v>1</v>
      </c>
      <c r="G10" s="199">
        <v>1</v>
      </c>
      <c r="H10" s="199">
        <v>1</v>
      </c>
      <c r="I10" s="199">
        <v>1</v>
      </c>
      <c r="J10" s="199">
        <v>1</v>
      </c>
      <c r="K10" s="199">
        <v>2</v>
      </c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 t="s">
        <v>286</v>
      </c>
      <c r="Y10" s="337"/>
      <c r="Z10" s="538"/>
      <c r="AA10" s="2"/>
      <c r="AB10" s="2"/>
      <c r="AC10" s="2"/>
    </row>
    <row r="11" spans="1:29" ht="64.5" customHeight="1" x14ac:dyDescent="0.15">
      <c r="A11" s="563"/>
      <c r="B11" s="554" t="s">
        <v>15</v>
      </c>
      <c r="C11" s="555"/>
      <c r="D11" s="200" t="s">
        <v>44</v>
      </c>
      <c r="E11" s="200" t="s">
        <v>44</v>
      </c>
      <c r="F11" s="395" t="s">
        <v>211</v>
      </c>
      <c r="G11" s="395" t="s">
        <v>211</v>
      </c>
      <c r="H11" s="200" t="s">
        <v>44</v>
      </c>
      <c r="I11" s="200" t="s">
        <v>44</v>
      </c>
      <c r="J11" s="200" t="s">
        <v>44</v>
      </c>
      <c r="K11" s="200" t="s">
        <v>44</v>
      </c>
      <c r="L11" s="200"/>
      <c r="M11" s="200"/>
      <c r="N11" s="200"/>
      <c r="O11" s="200"/>
      <c r="P11" s="200"/>
      <c r="Q11" s="294"/>
      <c r="R11" s="294"/>
      <c r="S11" s="294"/>
      <c r="T11" s="200"/>
      <c r="U11" s="200"/>
      <c r="V11" s="200"/>
      <c r="W11" s="200"/>
      <c r="X11" s="200"/>
      <c r="Y11" s="338"/>
      <c r="Z11" s="539"/>
    </row>
    <row r="12" spans="1:29" ht="18" customHeight="1" x14ac:dyDescent="0.15">
      <c r="A12" s="564"/>
      <c r="B12" s="540" t="s">
        <v>26</v>
      </c>
      <c r="C12" s="541"/>
      <c r="D12" s="186">
        <v>2000</v>
      </c>
      <c r="E12" s="186">
        <v>1000</v>
      </c>
      <c r="F12" s="186">
        <v>1000</v>
      </c>
      <c r="G12" s="186">
        <v>1000</v>
      </c>
      <c r="H12" s="186">
        <v>1000</v>
      </c>
      <c r="I12" s="186">
        <v>1000</v>
      </c>
      <c r="J12" s="186">
        <v>1000</v>
      </c>
      <c r="K12" s="186">
        <v>2000</v>
      </c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339"/>
      <c r="Z12" s="256">
        <f t="shared" ref="Z12:Z17" si="0">SUM(D12:Y12)</f>
        <v>10000</v>
      </c>
    </row>
    <row r="13" spans="1:29" ht="18" customHeight="1" x14ac:dyDescent="0.15">
      <c r="A13" s="564"/>
      <c r="B13" s="542" t="s">
        <v>231</v>
      </c>
      <c r="C13" s="343" t="s">
        <v>29</v>
      </c>
      <c r="D13" s="187">
        <v>700</v>
      </c>
      <c r="E13" s="187">
        <v>350</v>
      </c>
      <c r="F13" s="187"/>
      <c r="G13" s="187"/>
      <c r="H13" s="187">
        <v>350</v>
      </c>
      <c r="I13" s="187">
        <v>350</v>
      </c>
      <c r="J13" s="187">
        <v>350</v>
      </c>
      <c r="K13" s="187">
        <v>700</v>
      </c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339"/>
      <c r="Z13" s="260">
        <f t="shared" si="0"/>
        <v>2800</v>
      </c>
    </row>
    <row r="14" spans="1:29" ht="18" customHeight="1" x14ac:dyDescent="0.15">
      <c r="A14" s="564"/>
      <c r="B14" s="543"/>
      <c r="C14" s="344" t="s">
        <v>35</v>
      </c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14"/>
      <c r="Z14" s="259">
        <f t="shared" si="0"/>
        <v>0</v>
      </c>
    </row>
    <row r="15" spans="1:29" ht="18" customHeight="1" x14ac:dyDescent="0.15">
      <c r="A15" s="564"/>
      <c r="B15" s="543"/>
      <c r="C15" s="345" t="s">
        <v>203</v>
      </c>
      <c r="D15" s="190"/>
      <c r="E15" s="190"/>
      <c r="F15" s="189">
        <v>350</v>
      </c>
      <c r="G15" s="189">
        <v>350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89"/>
      <c r="R15" s="189"/>
      <c r="S15" s="189"/>
      <c r="T15" s="190"/>
      <c r="U15" s="190"/>
      <c r="V15" s="190"/>
      <c r="W15" s="190"/>
      <c r="X15" s="190"/>
      <c r="Y15" s="340"/>
      <c r="Z15" s="259">
        <f t="shared" si="0"/>
        <v>700</v>
      </c>
    </row>
    <row r="16" spans="1:29" ht="18" customHeight="1" x14ac:dyDescent="0.15">
      <c r="A16" s="564"/>
      <c r="B16" s="544"/>
      <c r="C16" s="346" t="s">
        <v>27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340"/>
      <c r="Z16" s="261">
        <f t="shared" si="0"/>
        <v>0</v>
      </c>
    </row>
    <row r="17" spans="1:28" ht="18" customHeight="1" x14ac:dyDescent="0.15">
      <c r="A17" s="564"/>
      <c r="B17" s="545" t="s">
        <v>22</v>
      </c>
      <c r="C17" s="546"/>
      <c r="D17" s="330">
        <f t="shared" ref="D17:K17" si="1">SUM(D12:D16)</f>
        <v>2700</v>
      </c>
      <c r="E17" s="330">
        <f t="shared" si="1"/>
        <v>1350</v>
      </c>
      <c r="F17" s="330">
        <f t="shared" si="1"/>
        <v>1350</v>
      </c>
      <c r="G17" s="330">
        <f t="shared" si="1"/>
        <v>1350</v>
      </c>
      <c r="H17" s="330">
        <f t="shared" si="1"/>
        <v>1350</v>
      </c>
      <c r="I17" s="330">
        <f t="shared" si="1"/>
        <v>1350</v>
      </c>
      <c r="J17" s="330">
        <f t="shared" si="1"/>
        <v>1350</v>
      </c>
      <c r="K17" s="330">
        <f t="shared" si="1"/>
        <v>2700</v>
      </c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209"/>
      <c r="Y17" s="340"/>
      <c r="Z17" s="267">
        <f t="shared" si="0"/>
        <v>13500</v>
      </c>
    </row>
    <row r="18" spans="1:28" ht="14.25" x14ac:dyDescent="0.15">
      <c r="A18" s="331"/>
      <c r="B18" s="331"/>
      <c r="C18" s="218"/>
      <c r="D18" s="270"/>
      <c r="E18" s="332"/>
      <c r="F18" s="270"/>
      <c r="G18" s="332"/>
      <c r="H18" s="332"/>
      <c r="I18" s="332"/>
      <c r="J18" s="332"/>
      <c r="K18" s="270"/>
      <c r="L18" s="332"/>
      <c r="M18" s="332"/>
      <c r="N18" s="270"/>
      <c r="O18" s="332"/>
      <c r="P18" s="270"/>
      <c r="Q18" s="332"/>
      <c r="R18" s="332"/>
      <c r="S18" s="332"/>
      <c r="T18" s="332"/>
      <c r="U18" s="332"/>
      <c r="V18" s="332"/>
      <c r="W18" s="332"/>
      <c r="X18" s="329"/>
      <c r="Y18" s="50"/>
      <c r="Z18" s="49"/>
    </row>
    <row r="19" spans="1:28" ht="14.25" customHeight="1" x14ac:dyDescent="0.15">
      <c r="A19" s="565"/>
      <c r="B19" s="547" t="s">
        <v>32</v>
      </c>
      <c r="C19" s="453"/>
      <c r="D19" s="162">
        <v>21</v>
      </c>
      <c r="E19" s="162">
        <v>22</v>
      </c>
      <c r="F19" s="162">
        <v>23</v>
      </c>
      <c r="G19" s="162">
        <v>24</v>
      </c>
      <c r="H19" s="162">
        <v>25</v>
      </c>
      <c r="I19" s="162">
        <v>26</v>
      </c>
      <c r="J19" s="162">
        <v>27</v>
      </c>
      <c r="K19" s="162">
        <v>28</v>
      </c>
      <c r="L19" s="162">
        <v>29</v>
      </c>
      <c r="M19" s="162">
        <v>30</v>
      </c>
      <c r="N19" s="162">
        <v>31</v>
      </c>
      <c r="O19" s="162">
        <v>32</v>
      </c>
      <c r="P19" s="162">
        <v>33</v>
      </c>
      <c r="Q19" s="162">
        <v>34</v>
      </c>
      <c r="R19" s="162">
        <v>35</v>
      </c>
      <c r="S19" s="162">
        <v>36</v>
      </c>
      <c r="T19" s="162">
        <v>37</v>
      </c>
      <c r="U19" s="162">
        <v>38</v>
      </c>
      <c r="V19" s="162">
        <v>39</v>
      </c>
      <c r="W19" s="162">
        <v>40</v>
      </c>
      <c r="X19" s="162"/>
      <c r="Y19" s="211"/>
      <c r="Z19" s="14" t="s">
        <v>28</v>
      </c>
    </row>
    <row r="20" spans="1:28" ht="14.25" customHeight="1" x14ac:dyDescent="0.15">
      <c r="A20" s="565"/>
      <c r="B20" s="548" t="s">
        <v>25</v>
      </c>
      <c r="C20" s="549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334"/>
      <c r="Z20" s="537"/>
    </row>
    <row r="21" spans="1:28" ht="14.25" customHeight="1" x14ac:dyDescent="0.15">
      <c r="A21" s="565"/>
      <c r="B21" s="550" t="s">
        <v>24</v>
      </c>
      <c r="C21" s="551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335"/>
      <c r="Z21" s="538"/>
    </row>
    <row r="22" spans="1:28" ht="14.25" customHeight="1" x14ac:dyDescent="0.15">
      <c r="A22" s="565"/>
      <c r="B22" s="552"/>
      <c r="C22" s="553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6"/>
      <c r="R22" s="196"/>
      <c r="S22" s="195"/>
      <c r="T22" s="195"/>
      <c r="U22" s="195"/>
      <c r="V22" s="195"/>
      <c r="W22" s="195"/>
      <c r="X22" s="195"/>
      <c r="Y22" s="195"/>
      <c r="Z22" s="538"/>
    </row>
    <row r="23" spans="1:28" ht="14.25" customHeight="1" x14ac:dyDescent="0.15">
      <c r="A23" s="565"/>
      <c r="B23" s="540"/>
      <c r="C23" s="541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336"/>
      <c r="Z23" s="538"/>
    </row>
    <row r="24" spans="1:28" ht="14.25" customHeight="1" x14ac:dyDescent="0.15">
      <c r="A24" s="565"/>
      <c r="B24" s="545" t="s">
        <v>5</v>
      </c>
      <c r="C24" s="546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337"/>
      <c r="Z24" s="538"/>
    </row>
    <row r="25" spans="1:28" ht="53.25" customHeight="1" x14ac:dyDescent="0.15">
      <c r="A25" s="565"/>
      <c r="B25" s="554" t="s">
        <v>15</v>
      </c>
      <c r="C25" s="555"/>
      <c r="D25" s="294"/>
      <c r="E25" s="294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94"/>
      <c r="R25" s="294"/>
      <c r="S25" s="200"/>
      <c r="T25" s="200"/>
      <c r="U25" s="200"/>
      <c r="V25" s="200"/>
      <c r="W25" s="200"/>
      <c r="X25" s="200"/>
      <c r="Y25" s="338"/>
      <c r="Z25" s="538"/>
    </row>
    <row r="26" spans="1:28" ht="18.75" customHeight="1" x14ac:dyDescent="0.15">
      <c r="A26" s="553"/>
      <c r="B26" s="540" t="s">
        <v>26</v>
      </c>
      <c r="C26" s="541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339"/>
      <c r="Z26" s="538"/>
    </row>
    <row r="27" spans="1:28" ht="18.75" customHeight="1" x14ac:dyDescent="0.15">
      <c r="A27" s="553"/>
      <c r="B27" s="542" t="s">
        <v>231</v>
      </c>
      <c r="C27" s="343" t="s">
        <v>29</v>
      </c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339"/>
      <c r="Z27" s="538"/>
    </row>
    <row r="28" spans="1:28" ht="18.75" customHeight="1" x14ac:dyDescent="0.15">
      <c r="A28" s="553"/>
      <c r="B28" s="543"/>
      <c r="C28" s="344" t="s">
        <v>35</v>
      </c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14"/>
      <c r="Z28" s="538"/>
    </row>
    <row r="29" spans="1:28" ht="18.75" customHeight="1" x14ac:dyDescent="0.15">
      <c r="A29" s="553"/>
      <c r="B29" s="543"/>
      <c r="C29" s="345" t="s">
        <v>203</v>
      </c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90"/>
      <c r="P29" s="190"/>
      <c r="Q29" s="189"/>
      <c r="R29" s="189"/>
      <c r="S29" s="190"/>
      <c r="T29" s="190"/>
      <c r="U29" s="190"/>
      <c r="V29" s="190"/>
      <c r="W29" s="190"/>
      <c r="X29" s="190"/>
      <c r="Y29" s="340"/>
      <c r="Z29" s="538"/>
    </row>
    <row r="30" spans="1:28" ht="18.75" customHeight="1" x14ac:dyDescent="0.15">
      <c r="A30" s="553"/>
      <c r="B30" s="544"/>
      <c r="C30" s="346" t="s">
        <v>27</v>
      </c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340"/>
      <c r="Z30" s="538"/>
    </row>
    <row r="31" spans="1:28" ht="18.75" customHeight="1" x14ac:dyDescent="0.15">
      <c r="A31" s="553"/>
      <c r="B31" s="545" t="s">
        <v>22</v>
      </c>
      <c r="C31" s="546"/>
      <c r="D31" s="330">
        <f t="shared" ref="D31:M31" si="2">SUM(D26:D30)</f>
        <v>0</v>
      </c>
      <c r="E31" s="330">
        <f t="shared" si="2"/>
        <v>0</v>
      </c>
      <c r="F31" s="330">
        <f t="shared" si="2"/>
        <v>0</v>
      </c>
      <c r="G31" s="330">
        <f t="shared" si="2"/>
        <v>0</v>
      </c>
      <c r="H31" s="330">
        <f t="shared" si="2"/>
        <v>0</v>
      </c>
      <c r="I31" s="330">
        <f t="shared" si="2"/>
        <v>0</v>
      </c>
      <c r="J31" s="330">
        <f t="shared" si="2"/>
        <v>0</v>
      </c>
      <c r="K31" s="330">
        <f t="shared" si="2"/>
        <v>0</v>
      </c>
      <c r="L31" s="330">
        <f t="shared" si="2"/>
        <v>0</v>
      </c>
      <c r="M31" s="330">
        <f t="shared" si="2"/>
        <v>0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340"/>
      <c r="Z31" s="539"/>
    </row>
    <row r="32" spans="1:28" ht="15" thickBot="1" x14ac:dyDescent="0.2">
      <c r="A32" s="12"/>
      <c r="B32" s="12"/>
      <c r="C32" s="224"/>
      <c r="D32" s="347"/>
      <c r="E32" s="347"/>
      <c r="F32" s="347"/>
      <c r="G32" s="333"/>
      <c r="H32" s="347"/>
      <c r="I32" s="347"/>
      <c r="J32" s="333"/>
      <c r="K32" s="347"/>
      <c r="L32" s="347"/>
      <c r="M32" s="333"/>
      <c r="N32" s="347"/>
      <c r="O32" s="333"/>
      <c r="P32" s="347"/>
      <c r="Q32" s="333"/>
      <c r="R32" s="347"/>
      <c r="S32" s="333"/>
      <c r="T32" s="347"/>
      <c r="U32" s="333"/>
      <c r="V32" s="347"/>
      <c r="W32" s="347"/>
      <c r="X32" s="347"/>
      <c r="Y32" s="50"/>
      <c r="Z32" s="111"/>
      <c r="AB32" s="353" t="s">
        <v>235</v>
      </c>
    </row>
    <row r="33" spans="15:28" ht="21.75" thickBot="1" x14ac:dyDescent="0.2">
      <c r="O33" s="575" t="s">
        <v>237</v>
      </c>
      <c r="P33" s="575"/>
      <c r="Q33" s="575"/>
      <c r="R33" s="396" t="s">
        <v>122</v>
      </c>
      <c r="S33" s="396"/>
      <c r="T33" s="396"/>
      <c r="U33" s="163"/>
      <c r="V33" s="397"/>
      <c r="W33" s="569" t="s">
        <v>233</v>
      </c>
      <c r="X33" s="570"/>
      <c r="Y33" s="559">
        <f>Z12+Z26</f>
        <v>10000</v>
      </c>
      <c r="Z33" s="560"/>
      <c r="AB33" s="350"/>
    </row>
    <row r="34" spans="15:28" ht="21.75" thickBot="1" x14ac:dyDescent="0.2">
      <c r="O34" s="574" t="s">
        <v>236</v>
      </c>
      <c r="P34" s="574"/>
      <c r="Q34" s="574"/>
      <c r="R34" s="163" t="s">
        <v>123</v>
      </c>
      <c r="S34" s="163"/>
      <c r="T34" s="163"/>
      <c r="U34" s="163"/>
      <c r="V34" s="397"/>
      <c r="W34" s="569" t="s">
        <v>232</v>
      </c>
      <c r="X34" s="570"/>
      <c r="Y34" s="561">
        <f>Z13+Z14+Z15+Z16+Z27+Z28+Z29+Z30</f>
        <v>3500</v>
      </c>
      <c r="Z34" s="562"/>
      <c r="AB34" s="351"/>
    </row>
    <row r="35" spans="15:28" ht="21.75" thickBot="1" x14ac:dyDescent="0.2">
      <c r="O35" s="246"/>
      <c r="P35" s="246"/>
      <c r="Q35" s="246"/>
      <c r="R35" s="163" t="s">
        <v>124</v>
      </c>
      <c r="S35" s="163"/>
      <c r="T35" s="163"/>
      <c r="U35" s="163"/>
      <c r="V35" s="397"/>
      <c r="W35" s="557" t="s">
        <v>234</v>
      </c>
      <c r="X35" s="558"/>
      <c r="Y35" s="559">
        <f>Y33+Y34</f>
        <v>13500</v>
      </c>
      <c r="Z35" s="560"/>
      <c r="AB35" s="352"/>
    </row>
    <row r="36" spans="15:28" ht="14.25" x14ac:dyDescent="0.15">
      <c r="O36" s="246"/>
      <c r="P36" s="246"/>
      <c r="Q36" s="246"/>
      <c r="R36" s="163" t="s">
        <v>121</v>
      </c>
      <c r="S36" s="163"/>
      <c r="T36" s="163"/>
      <c r="U36" s="163"/>
      <c r="V36" s="398"/>
      <c r="W36" s="333"/>
      <c r="X36" s="333"/>
      <c r="Y36" s="50"/>
      <c r="Z36" s="50"/>
    </row>
    <row r="37" spans="15:28" ht="14.25" x14ac:dyDescent="0.15">
      <c r="V37" s="333"/>
      <c r="W37" s="333"/>
      <c r="X37" s="333"/>
      <c r="Y37" s="50"/>
      <c r="Z37" s="50"/>
    </row>
    <row r="38" spans="15:28" ht="14.25" x14ac:dyDescent="0.15">
      <c r="V38" s="333"/>
      <c r="W38" s="333"/>
      <c r="X38" s="333"/>
      <c r="Y38" s="50"/>
      <c r="Z38" s="50"/>
    </row>
    <row r="39" spans="15:28" ht="14.25" x14ac:dyDescent="0.15">
      <c r="V39" s="333"/>
      <c r="W39" s="333"/>
      <c r="X39" s="333"/>
      <c r="Y39" s="50"/>
      <c r="Z39" s="50"/>
    </row>
    <row r="40" spans="15:28" ht="14.25" x14ac:dyDescent="0.15">
      <c r="V40" s="333"/>
      <c r="W40" s="333"/>
      <c r="X40" s="333"/>
      <c r="Y40" s="50"/>
      <c r="Z40" s="50"/>
    </row>
  </sheetData>
  <mergeCells count="36">
    <mergeCell ref="D2:F2"/>
    <mergeCell ref="G2:I2"/>
    <mergeCell ref="V2:W2"/>
    <mergeCell ref="Y2:Z2"/>
    <mergeCell ref="K3:M3"/>
    <mergeCell ref="V3:X3"/>
    <mergeCell ref="A5:A11"/>
    <mergeCell ref="B5:C5"/>
    <mergeCell ref="B6:C6"/>
    <mergeCell ref="B7:C9"/>
    <mergeCell ref="B10:C10"/>
    <mergeCell ref="B11:C11"/>
    <mergeCell ref="A12:A17"/>
    <mergeCell ref="B12:C12"/>
    <mergeCell ref="B13:B16"/>
    <mergeCell ref="B17:C17"/>
    <mergeCell ref="A19:A25"/>
    <mergeCell ref="B19:C19"/>
    <mergeCell ref="B20:C20"/>
    <mergeCell ref="B21:C23"/>
    <mergeCell ref="B24:C24"/>
    <mergeCell ref="B25:C25"/>
    <mergeCell ref="W35:X35"/>
    <mergeCell ref="Y35:Z35"/>
    <mergeCell ref="W33:X33"/>
    <mergeCell ref="A26:A31"/>
    <mergeCell ref="B26:C26"/>
    <mergeCell ref="B27:B30"/>
    <mergeCell ref="B31:C31"/>
    <mergeCell ref="O33:Q33"/>
    <mergeCell ref="Z20:Z31"/>
    <mergeCell ref="Z6:Z11"/>
    <mergeCell ref="O34:Q34"/>
    <mergeCell ref="Y33:Z33"/>
    <mergeCell ref="W34:X34"/>
    <mergeCell ref="Y34:Z34"/>
  </mergeCells>
  <phoneticPr fontId="1"/>
  <pageMargins left="0" right="0" top="0.94488188976377963" bottom="0" header="0.31496062992125984" footer="0.31496062992125984"/>
  <pageSetup paperSize="9" scale="75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W55"/>
  <sheetViews>
    <sheetView topLeftCell="A4" workbookViewId="0">
      <selection activeCell="W43" sqref="W43"/>
    </sheetView>
  </sheetViews>
  <sheetFormatPr defaultRowHeight="13.5" x14ac:dyDescent="0.15"/>
  <cols>
    <col min="1" max="1" width="6.125" customWidth="1"/>
    <col min="2" max="2" width="5.125" customWidth="1"/>
    <col min="3" max="3" width="11.375" customWidth="1"/>
    <col min="4" max="4" width="12.125" customWidth="1"/>
    <col min="5" max="10" width="11" style="2" customWidth="1"/>
    <col min="11" max="11" width="9.5" style="2" customWidth="1"/>
    <col min="12" max="15" width="10.375" customWidth="1"/>
    <col min="16" max="17" width="8.25" customWidth="1"/>
    <col min="18" max="18" width="13.125" customWidth="1"/>
    <col min="19" max="19" width="12.375" customWidth="1"/>
    <col min="20" max="20" width="14.875" customWidth="1"/>
    <col min="21" max="21" width="1.375" customWidth="1"/>
  </cols>
  <sheetData>
    <row r="1" spans="1:23" ht="54.75" customHeight="1" x14ac:dyDescent="0.15"/>
    <row r="2" spans="1:23" ht="23.45" customHeight="1" x14ac:dyDescent="0.15">
      <c r="A2" s="66"/>
      <c r="B2" s="503" t="s">
        <v>31</v>
      </c>
      <c r="C2" s="503"/>
      <c r="D2" s="580"/>
      <c r="E2" s="12"/>
      <c r="O2" s="11"/>
      <c r="P2" s="11"/>
      <c r="Q2" s="11"/>
      <c r="R2" s="11"/>
      <c r="S2" s="11"/>
      <c r="T2" s="11"/>
    </row>
    <row r="3" spans="1:23" ht="29.45" customHeight="1" x14ac:dyDescent="0.15">
      <c r="A3" s="71"/>
      <c r="B3" s="72"/>
      <c r="C3" s="97" t="s">
        <v>284</v>
      </c>
      <c r="D3" s="97"/>
      <c r="E3" s="164"/>
      <c r="F3" s="164"/>
      <c r="G3" s="164"/>
      <c r="H3" s="164"/>
      <c r="I3" s="164"/>
      <c r="J3" s="164"/>
      <c r="K3" s="164"/>
      <c r="L3" s="97"/>
      <c r="M3" s="583" t="s">
        <v>61</v>
      </c>
      <c r="N3" s="583"/>
      <c r="O3" s="583"/>
      <c r="P3" s="583"/>
      <c r="Q3" s="292"/>
      <c r="R3" s="581" t="s">
        <v>283</v>
      </c>
      <c r="S3" s="581"/>
      <c r="T3" s="581"/>
      <c r="U3" s="73"/>
      <c r="V3" s="73"/>
    </row>
    <row r="4" spans="1:23" ht="18.75" customHeight="1" x14ac:dyDescent="0.15">
      <c r="A4" s="66"/>
      <c r="B4" s="451" t="s">
        <v>74</v>
      </c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3"/>
      <c r="W4" s="300"/>
    </row>
    <row r="5" spans="1:23" ht="18.75" customHeight="1" x14ac:dyDescent="0.15">
      <c r="A5" s="66"/>
      <c r="B5" s="489"/>
      <c r="C5" s="454" t="s">
        <v>75</v>
      </c>
      <c r="D5" s="162" t="s">
        <v>76</v>
      </c>
      <c r="E5" s="210">
        <v>1</v>
      </c>
      <c r="F5" s="210">
        <v>2</v>
      </c>
      <c r="G5" s="210">
        <v>3</v>
      </c>
      <c r="H5" s="210">
        <v>4</v>
      </c>
      <c r="I5" s="210">
        <v>5</v>
      </c>
      <c r="J5" s="210">
        <v>6</v>
      </c>
      <c r="K5" s="210">
        <v>7</v>
      </c>
      <c r="L5" s="210">
        <v>8</v>
      </c>
      <c r="M5" s="210">
        <v>9</v>
      </c>
      <c r="N5" s="210">
        <v>10</v>
      </c>
      <c r="O5" s="210">
        <v>11</v>
      </c>
      <c r="P5" s="210">
        <v>12</v>
      </c>
      <c r="Q5" s="210">
        <v>13</v>
      </c>
      <c r="R5" s="291" t="s">
        <v>212</v>
      </c>
      <c r="S5" s="584" t="s">
        <v>77</v>
      </c>
      <c r="T5" s="584" t="s">
        <v>78</v>
      </c>
    </row>
    <row r="6" spans="1:23" ht="18.75" customHeight="1" x14ac:dyDescent="0.15">
      <c r="A6" s="66"/>
      <c r="B6" s="492"/>
      <c r="C6" s="582"/>
      <c r="D6" s="185" t="s">
        <v>79</v>
      </c>
      <c r="E6" s="193">
        <v>45788</v>
      </c>
      <c r="F6" s="193">
        <v>45797</v>
      </c>
      <c r="G6" s="193">
        <v>45799</v>
      </c>
      <c r="H6" s="193">
        <v>45803</v>
      </c>
      <c r="I6" s="193">
        <v>45812</v>
      </c>
      <c r="J6" s="193">
        <v>45822</v>
      </c>
      <c r="K6" s="193">
        <v>45822</v>
      </c>
      <c r="L6" s="193">
        <v>45837</v>
      </c>
      <c r="M6" s="193">
        <v>45839</v>
      </c>
      <c r="N6" s="193">
        <v>45881</v>
      </c>
      <c r="O6" s="193">
        <v>45901</v>
      </c>
      <c r="P6" s="201"/>
      <c r="Q6" s="298"/>
      <c r="R6" s="299"/>
      <c r="S6" s="576"/>
      <c r="T6" s="576"/>
    </row>
    <row r="7" spans="1:23" ht="18.75" customHeight="1" x14ac:dyDescent="0.15">
      <c r="A7" s="66"/>
      <c r="B7" s="492"/>
      <c r="C7" s="582"/>
      <c r="D7" s="188" t="s">
        <v>80</v>
      </c>
      <c r="E7" s="194">
        <v>0.33333333333333331</v>
      </c>
      <c r="F7" s="194">
        <v>0.625</v>
      </c>
      <c r="G7" s="194">
        <v>0.41666666666666669</v>
      </c>
      <c r="H7" s="194">
        <v>0.41666666666666669</v>
      </c>
      <c r="I7" s="194">
        <v>0.375</v>
      </c>
      <c r="J7" s="194">
        <v>0.375</v>
      </c>
      <c r="K7" s="194">
        <v>0.58333333333333337</v>
      </c>
      <c r="L7" s="194">
        <v>0.54166666666666663</v>
      </c>
      <c r="M7" s="194">
        <v>0.33333333333333331</v>
      </c>
      <c r="N7" s="194">
        <v>0.33333333333333331</v>
      </c>
      <c r="O7" s="194">
        <v>0.375</v>
      </c>
      <c r="P7" s="202"/>
      <c r="Q7" s="295"/>
      <c r="R7" s="297"/>
      <c r="S7" s="576"/>
      <c r="T7" s="576"/>
    </row>
    <row r="8" spans="1:23" ht="18.75" customHeight="1" x14ac:dyDescent="0.15">
      <c r="A8" s="66"/>
      <c r="B8" s="492"/>
      <c r="C8" s="582"/>
      <c r="D8" s="211"/>
      <c r="E8" s="195" t="s">
        <v>65</v>
      </c>
      <c r="F8" s="195" t="s">
        <v>65</v>
      </c>
      <c r="G8" s="195" t="s">
        <v>65</v>
      </c>
      <c r="H8" s="195" t="s">
        <v>65</v>
      </c>
      <c r="I8" s="195" t="s">
        <v>65</v>
      </c>
      <c r="J8" s="195" t="s">
        <v>65</v>
      </c>
      <c r="K8" s="195" t="s">
        <v>65</v>
      </c>
      <c r="L8" s="195" t="s">
        <v>65</v>
      </c>
      <c r="M8" s="195" t="s">
        <v>65</v>
      </c>
      <c r="N8" s="195" t="s">
        <v>65</v>
      </c>
      <c r="O8" s="195" t="s">
        <v>65</v>
      </c>
      <c r="P8" s="195"/>
      <c r="Q8" s="195"/>
      <c r="R8" s="297"/>
      <c r="S8" s="576"/>
      <c r="T8" s="576"/>
    </row>
    <row r="9" spans="1:23" ht="18.75" customHeight="1" x14ac:dyDescent="0.15">
      <c r="A9" s="66"/>
      <c r="B9" s="492"/>
      <c r="C9" s="582"/>
      <c r="D9" s="212"/>
      <c r="E9" s="197">
        <v>0.41666666666666669</v>
      </c>
      <c r="F9" s="197">
        <v>0.66666666666666663</v>
      </c>
      <c r="G9" s="197">
        <v>0.5</v>
      </c>
      <c r="H9" s="197">
        <v>0.5</v>
      </c>
      <c r="I9" s="197">
        <v>0.41666666666666669</v>
      </c>
      <c r="J9" s="197">
        <v>0.5</v>
      </c>
      <c r="K9" s="197">
        <v>0.625</v>
      </c>
      <c r="L9" s="197">
        <v>0.625</v>
      </c>
      <c r="M9" s="197">
        <v>0.41666666666666669</v>
      </c>
      <c r="N9" s="197">
        <v>0.41666666666666669</v>
      </c>
      <c r="O9" s="197">
        <v>0.54166666666666663</v>
      </c>
      <c r="P9" s="203"/>
      <c r="Q9" s="295"/>
      <c r="R9" s="297"/>
      <c r="S9" s="576"/>
      <c r="T9" s="576"/>
    </row>
    <row r="10" spans="1:23" ht="18.75" customHeight="1" x14ac:dyDescent="0.15">
      <c r="A10" s="66"/>
      <c r="B10" s="492"/>
      <c r="C10" s="582"/>
      <c r="D10" s="198" t="s">
        <v>81</v>
      </c>
      <c r="E10" s="199">
        <v>2</v>
      </c>
      <c r="F10" s="199">
        <v>1</v>
      </c>
      <c r="G10" s="199">
        <v>2</v>
      </c>
      <c r="H10" s="199">
        <v>2</v>
      </c>
      <c r="I10" s="199">
        <v>1</v>
      </c>
      <c r="J10" s="199">
        <v>3</v>
      </c>
      <c r="K10" s="199">
        <v>1</v>
      </c>
      <c r="L10" s="199">
        <v>2</v>
      </c>
      <c r="M10" s="199">
        <v>2</v>
      </c>
      <c r="N10" s="199">
        <v>2</v>
      </c>
      <c r="O10" s="199">
        <v>2</v>
      </c>
      <c r="P10" s="199"/>
      <c r="Q10" s="199"/>
      <c r="R10" s="425" t="s">
        <v>285</v>
      </c>
      <c r="S10" s="576"/>
      <c r="T10" s="576"/>
    </row>
    <row r="11" spans="1:23" ht="67.5" customHeight="1" x14ac:dyDescent="0.15">
      <c r="A11" s="66"/>
      <c r="B11" s="493"/>
      <c r="C11" s="455"/>
      <c r="D11" s="213" t="s">
        <v>82</v>
      </c>
      <c r="E11" s="294" t="s">
        <v>210</v>
      </c>
      <c r="F11" s="294" t="s">
        <v>210</v>
      </c>
      <c r="G11" s="294" t="s">
        <v>210</v>
      </c>
      <c r="H11" s="294" t="s">
        <v>211</v>
      </c>
      <c r="I11" s="294" t="s">
        <v>44</v>
      </c>
      <c r="J11" s="294" t="s">
        <v>210</v>
      </c>
      <c r="K11" s="294" t="s">
        <v>44</v>
      </c>
      <c r="L11" s="294" t="s">
        <v>211</v>
      </c>
      <c r="M11" s="294" t="s">
        <v>44</v>
      </c>
      <c r="N11" s="294" t="s">
        <v>44</v>
      </c>
      <c r="O11" s="294" t="s">
        <v>210</v>
      </c>
      <c r="P11" s="13"/>
      <c r="Q11" s="296"/>
      <c r="R11" s="123"/>
      <c r="S11" s="133"/>
      <c r="T11" s="133" t="s">
        <v>93</v>
      </c>
    </row>
    <row r="12" spans="1:23" ht="15" customHeight="1" x14ac:dyDescent="0.15">
      <c r="A12" s="66"/>
      <c r="B12" s="480">
        <v>1</v>
      </c>
      <c r="C12" s="215"/>
      <c r="D12" s="42" t="s">
        <v>83</v>
      </c>
      <c r="E12" s="165">
        <v>2000</v>
      </c>
      <c r="F12" s="165"/>
      <c r="G12" s="165">
        <v>2000</v>
      </c>
      <c r="H12" s="165"/>
      <c r="I12" s="165"/>
      <c r="J12" s="165">
        <v>3000</v>
      </c>
      <c r="K12" s="165"/>
      <c r="L12" s="98"/>
      <c r="M12" s="98"/>
      <c r="N12" s="98"/>
      <c r="O12" s="98"/>
      <c r="P12" s="98"/>
      <c r="Q12" s="98"/>
      <c r="R12" s="372">
        <f>SUM(E12:P12)</f>
        <v>7000</v>
      </c>
      <c r="S12" s="585">
        <f>R12+R13</f>
        <v>7000</v>
      </c>
      <c r="T12" s="122"/>
    </row>
    <row r="13" spans="1:23" ht="15" customHeight="1" x14ac:dyDescent="0.15">
      <c r="A13" s="66"/>
      <c r="B13" s="481"/>
      <c r="C13" s="588" t="s">
        <v>116</v>
      </c>
      <c r="D13" s="31" t="s">
        <v>84</v>
      </c>
      <c r="E13" s="166"/>
      <c r="F13" s="166"/>
      <c r="G13" s="166"/>
      <c r="H13" s="166"/>
      <c r="I13" s="166"/>
      <c r="J13" s="166"/>
      <c r="K13" s="166"/>
      <c r="L13" s="99"/>
      <c r="M13" s="99"/>
      <c r="N13" s="99"/>
      <c r="O13" s="99"/>
      <c r="P13" s="99"/>
      <c r="Q13" s="99"/>
      <c r="R13" s="373">
        <f>SUM(E13:P13)</f>
        <v>0</v>
      </c>
      <c r="S13" s="586"/>
      <c r="T13" s="364"/>
    </row>
    <row r="14" spans="1:23" ht="15" customHeight="1" x14ac:dyDescent="0.15">
      <c r="A14" s="67">
        <v>3143</v>
      </c>
      <c r="B14" s="481"/>
      <c r="C14" s="588"/>
      <c r="D14" s="43" t="s">
        <v>85</v>
      </c>
      <c r="E14" s="167"/>
      <c r="F14" s="167"/>
      <c r="G14" s="167"/>
      <c r="H14" s="167"/>
      <c r="I14" s="167"/>
      <c r="J14" s="167"/>
      <c r="K14" s="167"/>
      <c r="L14" s="100"/>
      <c r="M14" s="100"/>
      <c r="N14" s="100"/>
      <c r="O14" s="100"/>
      <c r="P14" s="100"/>
      <c r="Q14" s="100"/>
      <c r="R14" s="373">
        <v>0</v>
      </c>
      <c r="S14" s="586"/>
      <c r="T14" s="364"/>
    </row>
    <row r="15" spans="1:23" ht="15" customHeight="1" x14ac:dyDescent="0.15">
      <c r="A15" s="67"/>
      <c r="B15" s="481"/>
      <c r="C15" s="588"/>
      <c r="D15" s="229" t="s">
        <v>203</v>
      </c>
      <c r="E15" s="167"/>
      <c r="F15" s="167"/>
      <c r="G15" s="167"/>
      <c r="H15" s="167"/>
      <c r="I15" s="167"/>
      <c r="J15" s="167"/>
      <c r="K15" s="167"/>
      <c r="L15" s="100"/>
      <c r="M15" s="100"/>
      <c r="N15" s="100"/>
      <c r="O15" s="100"/>
      <c r="P15" s="100"/>
      <c r="Q15" s="100"/>
      <c r="R15" s="374"/>
      <c r="S15" s="586"/>
      <c r="T15" s="364"/>
    </row>
    <row r="16" spans="1:23" ht="15" customHeight="1" x14ac:dyDescent="0.15">
      <c r="A16" s="66"/>
      <c r="B16" s="482"/>
      <c r="C16" s="214"/>
      <c r="D16" s="30" t="s">
        <v>86</v>
      </c>
      <c r="E16" s="168"/>
      <c r="F16" s="168"/>
      <c r="G16" s="168"/>
      <c r="H16" s="168"/>
      <c r="I16" s="168"/>
      <c r="J16" s="168"/>
      <c r="K16" s="168"/>
      <c r="L16" s="101"/>
      <c r="M16" s="101"/>
      <c r="N16" s="101"/>
      <c r="O16" s="101"/>
      <c r="P16" s="101"/>
      <c r="Q16" s="101"/>
      <c r="R16" s="375">
        <v>0</v>
      </c>
      <c r="S16" s="587"/>
      <c r="T16" s="120"/>
    </row>
    <row r="17" spans="1:20" ht="15" customHeight="1" x14ac:dyDescent="0.15">
      <c r="A17" s="66"/>
      <c r="B17" s="480">
        <v>2</v>
      </c>
      <c r="C17" s="215"/>
      <c r="D17" s="42" t="s">
        <v>83</v>
      </c>
      <c r="E17" s="165"/>
      <c r="F17" s="165"/>
      <c r="G17" s="165"/>
      <c r="H17" s="165"/>
      <c r="I17" s="165"/>
      <c r="J17" s="165"/>
      <c r="K17" s="165">
        <v>1000</v>
      </c>
      <c r="L17" s="98"/>
      <c r="M17" s="165">
        <v>1000</v>
      </c>
      <c r="N17" s="98"/>
      <c r="O17" s="98"/>
      <c r="P17" s="98"/>
      <c r="Q17" s="98"/>
      <c r="R17" s="372">
        <f>SUM(E17:P17)</f>
        <v>2000</v>
      </c>
      <c r="S17" s="585">
        <f>R17+R18</f>
        <v>2700</v>
      </c>
      <c r="T17" s="122"/>
    </row>
    <row r="18" spans="1:20" ht="15" customHeight="1" x14ac:dyDescent="0.15">
      <c r="A18" s="66"/>
      <c r="B18" s="481"/>
      <c r="C18" s="588" t="s">
        <v>87</v>
      </c>
      <c r="D18" s="31" t="s">
        <v>84</v>
      </c>
      <c r="E18" s="166"/>
      <c r="F18" s="166"/>
      <c r="G18" s="166"/>
      <c r="H18" s="166"/>
      <c r="I18" s="166"/>
      <c r="J18" s="166"/>
      <c r="K18" s="166">
        <v>350</v>
      </c>
      <c r="L18" s="99"/>
      <c r="M18" s="166">
        <v>350</v>
      </c>
      <c r="N18" s="99"/>
      <c r="O18" s="99"/>
      <c r="P18" s="99"/>
      <c r="Q18" s="99"/>
      <c r="R18" s="373">
        <f>SUM(E18:P18)</f>
        <v>700</v>
      </c>
      <c r="S18" s="586"/>
      <c r="T18" s="364"/>
    </row>
    <row r="19" spans="1:20" ht="15" customHeight="1" x14ac:dyDescent="0.15">
      <c r="A19" s="66"/>
      <c r="B19" s="481"/>
      <c r="C19" s="588"/>
      <c r="D19" s="43" t="s">
        <v>85</v>
      </c>
      <c r="E19" s="167"/>
      <c r="F19" s="167"/>
      <c r="G19" s="167"/>
      <c r="H19" s="167"/>
      <c r="I19" s="167"/>
      <c r="J19" s="167"/>
      <c r="K19" s="167"/>
      <c r="L19" s="100"/>
      <c r="M19" s="100"/>
      <c r="N19" s="100"/>
      <c r="O19" s="100"/>
      <c r="P19" s="100"/>
      <c r="Q19" s="100"/>
      <c r="R19" s="373">
        <v>0</v>
      </c>
      <c r="S19" s="586"/>
      <c r="T19" s="364"/>
    </row>
    <row r="20" spans="1:20" ht="15" customHeight="1" x14ac:dyDescent="0.15">
      <c r="A20" s="66"/>
      <c r="B20" s="481"/>
      <c r="C20" s="588"/>
      <c r="D20" s="229" t="s">
        <v>203</v>
      </c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8"/>
      <c r="R20" s="374"/>
      <c r="S20" s="586"/>
      <c r="T20" s="364"/>
    </row>
    <row r="21" spans="1:20" ht="15" customHeight="1" x14ac:dyDescent="0.15">
      <c r="A21" s="66"/>
      <c r="B21" s="482"/>
      <c r="C21" s="214"/>
      <c r="D21" s="30" t="s">
        <v>86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375">
        <v>0</v>
      </c>
      <c r="S21" s="587"/>
      <c r="T21" s="120"/>
    </row>
    <row r="22" spans="1:20" ht="15" customHeight="1" x14ac:dyDescent="0.15">
      <c r="A22" s="66"/>
      <c r="B22" s="480">
        <v>3</v>
      </c>
      <c r="C22" s="215"/>
      <c r="D22" s="42" t="s">
        <v>83</v>
      </c>
      <c r="E22" s="165"/>
      <c r="F22" s="165">
        <v>1000</v>
      </c>
      <c r="G22" s="165"/>
      <c r="H22" s="165">
        <v>2000</v>
      </c>
      <c r="I22" s="165">
        <v>1000</v>
      </c>
      <c r="J22" s="165"/>
      <c r="K22" s="165">
        <v>1000</v>
      </c>
      <c r="L22" s="165">
        <v>2000</v>
      </c>
      <c r="M22" s="165">
        <v>2000</v>
      </c>
      <c r="N22" s="165">
        <v>2000</v>
      </c>
      <c r="O22" s="165">
        <v>2000</v>
      </c>
      <c r="P22" s="98"/>
      <c r="Q22" s="98"/>
      <c r="R22" s="372">
        <v>13000</v>
      </c>
      <c r="S22" s="585">
        <f>R22+R23+R25</f>
        <v>16500</v>
      </c>
      <c r="T22" s="122"/>
    </row>
    <row r="23" spans="1:20" ht="15" customHeight="1" x14ac:dyDescent="0.15">
      <c r="A23" s="66"/>
      <c r="B23" s="481"/>
      <c r="C23" s="588" t="s">
        <v>88</v>
      </c>
      <c r="D23" s="31" t="s">
        <v>84</v>
      </c>
      <c r="E23" s="166"/>
      <c r="F23" s="166"/>
      <c r="G23" s="166"/>
      <c r="H23" s="166"/>
      <c r="I23" s="166">
        <v>350</v>
      </c>
      <c r="J23" s="166"/>
      <c r="K23" s="166">
        <v>350</v>
      </c>
      <c r="L23" s="166"/>
      <c r="M23" s="166">
        <v>700</v>
      </c>
      <c r="N23" s="166">
        <v>700</v>
      </c>
      <c r="O23" s="166"/>
      <c r="P23" s="99"/>
      <c r="Q23" s="99"/>
      <c r="R23" s="373">
        <f>SUM(E23:P23)</f>
        <v>2100</v>
      </c>
      <c r="S23" s="586"/>
      <c r="T23" s="364"/>
    </row>
    <row r="24" spans="1:20" ht="15" customHeight="1" x14ac:dyDescent="0.15">
      <c r="A24" s="66"/>
      <c r="B24" s="481"/>
      <c r="C24" s="588"/>
      <c r="D24" s="43" t="s">
        <v>85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00"/>
      <c r="P24" s="100"/>
      <c r="Q24" s="100"/>
      <c r="R24" s="373">
        <v>0</v>
      </c>
      <c r="S24" s="586"/>
      <c r="T24" s="364"/>
    </row>
    <row r="25" spans="1:20" ht="15" customHeight="1" x14ac:dyDescent="0.15">
      <c r="A25" s="66"/>
      <c r="B25" s="481"/>
      <c r="C25" s="588"/>
      <c r="D25" s="229" t="s">
        <v>203</v>
      </c>
      <c r="E25" s="167"/>
      <c r="F25" s="167"/>
      <c r="G25" s="167"/>
      <c r="H25" s="167">
        <v>700</v>
      </c>
      <c r="I25" s="167"/>
      <c r="J25" s="167"/>
      <c r="K25" s="167"/>
      <c r="L25" s="167">
        <v>700</v>
      </c>
      <c r="M25" s="167"/>
      <c r="N25" s="167"/>
      <c r="O25" s="100"/>
      <c r="P25" s="100"/>
      <c r="Q25" s="100"/>
      <c r="R25" s="374">
        <v>1400</v>
      </c>
      <c r="S25" s="586"/>
      <c r="T25" s="364"/>
    </row>
    <row r="26" spans="1:20" ht="15" customHeight="1" x14ac:dyDescent="0.15">
      <c r="A26" s="66"/>
      <c r="B26" s="482"/>
      <c r="C26" s="214"/>
      <c r="D26" s="30" t="s">
        <v>86</v>
      </c>
      <c r="E26" s="168"/>
      <c r="F26" s="168"/>
      <c r="G26" s="168"/>
      <c r="H26" s="168"/>
      <c r="I26" s="168"/>
      <c r="J26" s="168"/>
      <c r="K26" s="168"/>
      <c r="L26" s="101"/>
      <c r="M26" s="168"/>
      <c r="N26" s="168"/>
      <c r="O26" s="101"/>
      <c r="P26" s="101"/>
      <c r="Q26" s="101"/>
      <c r="R26" s="375">
        <v>0</v>
      </c>
      <c r="S26" s="587"/>
      <c r="T26" s="364"/>
    </row>
    <row r="27" spans="1:20" ht="15" customHeight="1" x14ac:dyDescent="0.15">
      <c r="A27" s="66"/>
      <c r="B27" s="480">
        <v>4</v>
      </c>
      <c r="C27" s="215"/>
      <c r="D27" s="42" t="s">
        <v>83</v>
      </c>
      <c r="E27" s="165"/>
      <c r="F27" s="165"/>
      <c r="G27" s="165"/>
      <c r="H27" s="165"/>
      <c r="I27" s="165"/>
      <c r="J27" s="165"/>
      <c r="K27" s="165">
        <v>1000</v>
      </c>
      <c r="L27" s="98"/>
      <c r="M27" s="165">
        <v>2000</v>
      </c>
      <c r="N27" s="165">
        <v>2000</v>
      </c>
      <c r="O27" s="98"/>
      <c r="P27" s="98"/>
      <c r="Q27" s="98"/>
      <c r="R27" s="372">
        <f>SUM(E27:P27)</f>
        <v>5000</v>
      </c>
      <c r="S27" s="585">
        <f>R27+R28</f>
        <v>6750</v>
      </c>
      <c r="T27" s="122"/>
    </row>
    <row r="28" spans="1:20" ht="15" customHeight="1" x14ac:dyDescent="0.15">
      <c r="A28" s="66"/>
      <c r="B28" s="481"/>
      <c r="C28" s="588" t="s">
        <v>62</v>
      </c>
      <c r="D28" s="31" t="s">
        <v>84</v>
      </c>
      <c r="E28" s="166"/>
      <c r="F28" s="166"/>
      <c r="G28" s="166"/>
      <c r="H28" s="166"/>
      <c r="I28" s="166"/>
      <c r="J28" s="166"/>
      <c r="K28" s="166">
        <v>350</v>
      </c>
      <c r="L28" s="99"/>
      <c r="M28" s="166">
        <v>700</v>
      </c>
      <c r="N28" s="166">
        <v>700</v>
      </c>
      <c r="O28" s="99"/>
      <c r="P28" s="99"/>
      <c r="Q28" s="99"/>
      <c r="R28" s="373">
        <f>SUM(E28:P28)</f>
        <v>1750</v>
      </c>
      <c r="S28" s="586"/>
      <c r="T28" s="364"/>
    </row>
    <row r="29" spans="1:20" ht="15" customHeight="1" x14ac:dyDescent="0.15">
      <c r="A29" s="66"/>
      <c r="B29" s="481"/>
      <c r="C29" s="588"/>
      <c r="D29" s="43" t="s">
        <v>85</v>
      </c>
      <c r="E29" s="167"/>
      <c r="F29" s="167"/>
      <c r="G29" s="389"/>
      <c r="H29" s="389"/>
      <c r="I29" s="389"/>
      <c r="J29" s="389"/>
      <c r="K29" s="389"/>
      <c r="L29" s="100"/>
      <c r="M29" s="167"/>
      <c r="N29" s="100"/>
      <c r="O29" s="100"/>
      <c r="P29" s="100"/>
      <c r="Q29" s="393"/>
      <c r="R29" s="373">
        <v>0</v>
      </c>
      <c r="S29" s="586"/>
      <c r="T29" s="364"/>
    </row>
    <row r="30" spans="1:20" ht="15" customHeight="1" x14ac:dyDescent="0.15">
      <c r="A30" s="66"/>
      <c r="B30" s="481"/>
      <c r="C30" s="588"/>
      <c r="D30" s="229" t="s">
        <v>203</v>
      </c>
      <c r="E30" s="386"/>
      <c r="F30" s="388"/>
      <c r="G30" s="388"/>
      <c r="H30" s="388"/>
      <c r="I30" s="388"/>
      <c r="J30" s="388"/>
      <c r="K30" s="170"/>
      <c r="L30" s="391"/>
      <c r="M30" s="391"/>
      <c r="N30" s="391"/>
      <c r="O30" s="391"/>
      <c r="P30" s="390"/>
      <c r="Q30" s="145"/>
      <c r="R30" s="374"/>
      <c r="S30" s="586"/>
      <c r="T30" s="364"/>
    </row>
    <row r="31" spans="1:20" ht="15" customHeight="1" x14ac:dyDescent="0.15">
      <c r="A31" s="66"/>
      <c r="B31" s="482"/>
      <c r="C31" s="214"/>
      <c r="D31" s="30" t="s">
        <v>86</v>
      </c>
      <c r="E31" s="387"/>
      <c r="F31" s="169"/>
      <c r="G31" s="169"/>
      <c r="H31" s="169"/>
      <c r="I31" s="169"/>
      <c r="J31" s="169"/>
      <c r="K31" s="387"/>
      <c r="L31" s="102"/>
      <c r="M31" s="102"/>
      <c r="N31" s="102"/>
      <c r="O31" s="102"/>
      <c r="P31" s="392"/>
      <c r="Q31" s="392"/>
      <c r="R31" s="375">
        <v>0</v>
      </c>
      <c r="S31" s="587"/>
      <c r="T31" s="120"/>
    </row>
    <row r="32" spans="1:20" ht="21.75" customHeight="1" x14ac:dyDescent="0.15">
      <c r="A32" s="66"/>
      <c r="B32" s="269"/>
      <c r="C32" s="207"/>
      <c r="D32" s="12"/>
      <c r="E32" s="365"/>
      <c r="F32" s="365"/>
      <c r="G32" s="365"/>
      <c r="H32" s="365"/>
      <c r="I32" s="365"/>
      <c r="J32" s="365"/>
      <c r="K32" s="365"/>
      <c r="L32" s="366"/>
      <c r="M32" s="366"/>
      <c r="N32" s="366"/>
      <c r="O32" s="367"/>
      <c r="P32" s="366"/>
      <c r="Q32" s="367"/>
      <c r="R32" s="376"/>
      <c r="S32" s="368"/>
      <c r="T32" s="7"/>
    </row>
    <row r="33" spans="1:22" ht="19.5" customHeight="1" x14ac:dyDescent="0.15">
      <c r="A33" s="66"/>
      <c r="B33" s="465" t="s">
        <v>257</v>
      </c>
      <c r="C33" s="577" t="s">
        <v>83</v>
      </c>
      <c r="D33" s="578"/>
      <c r="E33" s="256">
        <f>E12+E17+E22+E27</f>
        <v>2000</v>
      </c>
      <c r="F33" s="256">
        <f t="shared" ref="F33:O33" si="0">F12+F17+F22+F27</f>
        <v>1000</v>
      </c>
      <c r="G33" s="256">
        <f t="shared" si="0"/>
        <v>2000</v>
      </c>
      <c r="H33" s="256">
        <f t="shared" si="0"/>
        <v>2000</v>
      </c>
      <c r="I33" s="256">
        <f t="shared" si="0"/>
        <v>1000</v>
      </c>
      <c r="J33" s="256">
        <f t="shared" si="0"/>
        <v>3000</v>
      </c>
      <c r="K33" s="256">
        <f t="shared" si="0"/>
        <v>3000</v>
      </c>
      <c r="L33" s="256">
        <f t="shared" si="0"/>
        <v>2000</v>
      </c>
      <c r="M33" s="256">
        <f t="shared" si="0"/>
        <v>5000</v>
      </c>
      <c r="N33" s="256">
        <f t="shared" si="0"/>
        <v>4000</v>
      </c>
      <c r="O33" s="256">
        <f t="shared" si="0"/>
        <v>2000</v>
      </c>
      <c r="P33" s="186"/>
      <c r="Q33" s="186"/>
      <c r="R33" s="182">
        <f>SUM(E33:Q33)</f>
        <v>27000</v>
      </c>
      <c r="S33" s="585">
        <f>R33+R34+R35+R36</f>
        <v>32950</v>
      </c>
      <c r="T33" s="122"/>
    </row>
    <row r="34" spans="1:22" ht="19.5" customHeight="1" x14ac:dyDescent="0.15">
      <c r="A34" s="66"/>
      <c r="B34" s="576"/>
      <c r="C34" s="579" t="s">
        <v>258</v>
      </c>
      <c r="D34" s="212" t="s">
        <v>84</v>
      </c>
      <c r="E34" s="260"/>
      <c r="F34" s="260"/>
      <c r="G34" s="260"/>
      <c r="H34" s="260"/>
      <c r="I34" s="260">
        <v>350</v>
      </c>
      <c r="J34" s="260"/>
      <c r="K34" s="260">
        <v>1050</v>
      </c>
      <c r="L34" s="104"/>
      <c r="M34" s="260">
        <v>1750</v>
      </c>
      <c r="N34" s="260">
        <v>1400</v>
      </c>
      <c r="O34" s="104"/>
      <c r="P34" s="208"/>
      <c r="Q34" s="208"/>
      <c r="R34" s="373">
        <f>SUM(E34:Q34)</f>
        <v>4550</v>
      </c>
      <c r="S34" s="586"/>
      <c r="T34" s="364"/>
    </row>
    <row r="35" spans="1:22" ht="19.5" customHeight="1" x14ac:dyDescent="0.15">
      <c r="A35" s="66"/>
      <c r="B35" s="576"/>
      <c r="C35" s="576"/>
      <c r="D35" s="188" t="s">
        <v>85</v>
      </c>
      <c r="E35" s="377"/>
      <c r="F35" s="377"/>
      <c r="G35" s="377"/>
      <c r="H35" s="259"/>
      <c r="I35" s="377"/>
      <c r="J35" s="259"/>
      <c r="K35" s="259"/>
      <c r="L35" s="382"/>
      <c r="M35" s="301"/>
      <c r="N35" s="382"/>
      <c r="O35" s="382"/>
      <c r="P35" s="384"/>
      <c r="Q35" s="384"/>
      <c r="R35" s="373">
        <f>SUM(E35:P35)</f>
        <v>0</v>
      </c>
      <c r="S35" s="586"/>
      <c r="T35" s="364"/>
    </row>
    <row r="36" spans="1:22" ht="19.5" customHeight="1" x14ac:dyDescent="0.15">
      <c r="A36" s="66"/>
      <c r="B36" s="576"/>
      <c r="C36" s="576"/>
      <c r="D36" s="229" t="s">
        <v>203</v>
      </c>
      <c r="E36" s="267"/>
      <c r="F36" s="267"/>
      <c r="G36" s="267"/>
      <c r="H36" s="379">
        <v>700</v>
      </c>
      <c r="I36" s="321"/>
      <c r="J36" s="394"/>
      <c r="K36" s="380"/>
      <c r="L36" s="321">
        <v>700</v>
      </c>
      <c r="M36" s="383"/>
      <c r="N36" s="302"/>
      <c r="O36" s="302"/>
      <c r="P36" s="293"/>
      <c r="Q36" s="293"/>
      <c r="R36" s="374">
        <v>1400</v>
      </c>
      <c r="S36" s="586"/>
      <c r="T36" s="364"/>
    </row>
    <row r="37" spans="1:22" ht="17.25" customHeight="1" x14ac:dyDescent="0.15">
      <c r="A37" s="66"/>
      <c r="B37" s="466"/>
      <c r="C37" s="466"/>
      <c r="D37" s="191" t="s">
        <v>86</v>
      </c>
      <c r="E37" s="378"/>
      <c r="F37" s="378"/>
      <c r="G37" s="378"/>
      <c r="H37" s="378"/>
      <c r="I37" s="262"/>
      <c r="J37" s="262"/>
      <c r="K37" s="262"/>
      <c r="L37" s="303"/>
      <c r="M37" s="381"/>
      <c r="N37" s="381"/>
      <c r="O37" s="381"/>
      <c r="P37" s="385"/>
      <c r="Q37" s="385"/>
      <c r="R37" s="375">
        <v>0</v>
      </c>
      <c r="S37" s="587"/>
      <c r="T37" s="120"/>
    </row>
    <row r="38" spans="1:22" ht="10.5" customHeight="1" x14ac:dyDescent="0.15">
      <c r="A38" s="66"/>
      <c r="B38" s="363"/>
      <c r="C38" s="363"/>
      <c r="D38" s="358"/>
      <c r="E38" s="359"/>
      <c r="F38" s="359"/>
      <c r="G38" s="359"/>
      <c r="H38" s="359"/>
      <c r="I38" s="359"/>
      <c r="J38" s="359"/>
      <c r="K38" s="359"/>
      <c r="L38" s="360"/>
      <c r="M38" s="360"/>
      <c r="N38" s="360"/>
      <c r="O38" s="360"/>
      <c r="P38" s="333"/>
      <c r="Q38" s="347"/>
      <c r="R38" s="361"/>
      <c r="S38" s="362"/>
      <c r="T38" s="56"/>
    </row>
    <row r="39" spans="1:22" ht="10.5" customHeight="1" thickBot="1" x14ac:dyDescent="0.2">
      <c r="A39" s="66"/>
      <c r="B39" s="363"/>
      <c r="C39" s="363"/>
      <c r="D39" s="358"/>
      <c r="E39" s="359"/>
      <c r="F39" s="359"/>
      <c r="G39" s="359"/>
      <c r="H39" s="359"/>
      <c r="I39" s="359"/>
      <c r="J39" s="359"/>
      <c r="K39" s="359"/>
      <c r="L39" s="360"/>
      <c r="M39" s="360"/>
      <c r="N39" s="360"/>
      <c r="O39" s="333"/>
      <c r="P39" s="333"/>
      <c r="Q39" s="333"/>
      <c r="R39" s="50"/>
      <c r="S39" s="50"/>
      <c r="T39" s="56"/>
    </row>
    <row r="40" spans="1:22" ht="17.25" customHeight="1" thickBot="1" x14ac:dyDescent="0.2">
      <c r="A40" s="66"/>
      <c r="B40" s="363"/>
      <c r="C40" s="363"/>
      <c r="D40" s="358"/>
      <c r="E40" s="359"/>
      <c r="F40" s="359"/>
      <c r="G40" s="359"/>
      <c r="H40" s="359"/>
      <c r="I40" s="355"/>
      <c r="J40" s="355" t="s">
        <v>151</v>
      </c>
      <c r="K40" s="355"/>
      <c r="L40" s="246" t="s">
        <v>122</v>
      </c>
      <c r="M40" s="246"/>
      <c r="N40" s="246"/>
      <c r="O40" s="246"/>
      <c r="P40" s="69" t="e">
        <f>#REF!+#REF!</f>
        <v>#REF!</v>
      </c>
      <c r="Q40" s="349"/>
      <c r="R40" s="569" t="s">
        <v>233</v>
      </c>
      <c r="S40" s="570"/>
      <c r="T40" s="370">
        <f>R12+R17+R22+R27</f>
        <v>27000</v>
      </c>
      <c r="U40" s="369"/>
      <c r="V40" s="56"/>
    </row>
    <row r="41" spans="1:22" ht="17.25" customHeight="1" thickBot="1" x14ac:dyDescent="0.2">
      <c r="A41" s="66"/>
      <c r="B41" s="363"/>
      <c r="C41" s="363"/>
      <c r="D41" s="358"/>
      <c r="E41" s="359"/>
      <c r="F41" s="359"/>
      <c r="G41" s="359"/>
      <c r="H41" s="359"/>
      <c r="I41" s="246"/>
      <c r="J41" s="246"/>
      <c r="K41" s="246"/>
      <c r="L41" s="246" t="s">
        <v>123</v>
      </c>
      <c r="M41" s="246"/>
      <c r="N41" s="246"/>
      <c r="O41" s="246" t="s">
        <v>256</v>
      </c>
      <c r="P41" s="70"/>
      <c r="Q41" s="349"/>
      <c r="R41" s="569" t="s">
        <v>232</v>
      </c>
      <c r="S41" s="570"/>
      <c r="T41" s="371">
        <v>5950</v>
      </c>
      <c r="U41" s="369"/>
      <c r="V41" s="56"/>
    </row>
    <row r="42" spans="1:22" ht="17.25" customHeight="1" thickBot="1" x14ac:dyDescent="0.2">
      <c r="A42" s="66"/>
      <c r="B42" s="363"/>
      <c r="C42" s="363"/>
      <c r="D42" s="358"/>
      <c r="E42" s="359"/>
      <c r="F42" s="359"/>
      <c r="G42" s="359"/>
      <c r="H42" s="359"/>
      <c r="I42" s="246"/>
      <c r="J42" s="246"/>
      <c r="K42" s="246"/>
      <c r="L42" s="246" t="s">
        <v>124</v>
      </c>
      <c r="M42" s="246"/>
      <c r="N42" s="246"/>
      <c r="O42" s="246"/>
      <c r="P42" s="70"/>
      <c r="Q42" s="349"/>
      <c r="R42" s="557" t="s">
        <v>234</v>
      </c>
      <c r="S42" s="558"/>
      <c r="T42" s="370">
        <f>T40+T41</f>
        <v>32950</v>
      </c>
      <c r="U42" s="369"/>
      <c r="V42" s="56"/>
    </row>
    <row r="43" spans="1:22" ht="7.5" customHeight="1" x14ac:dyDescent="0.15">
      <c r="A43" s="66"/>
      <c r="B43" s="2"/>
      <c r="I43" s="246"/>
      <c r="J43" s="246"/>
      <c r="K43" s="246"/>
      <c r="L43" s="246" t="s">
        <v>205</v>
      </c>
      <c r="M43" s="246"/>
      <c r="N43" s="246"/>
      <c r="O43" s="246"/>
    </row>
    <row r="44" spans="1:22" s="163" customFormat="1" ht="12.75" customHeight="1" x14ac:dyDescent="0.15">
      <c r="A44" s="239"/>
      <c r="B44" s="39"/>
      <c r="E44" s="39"/>
      <c r="F44" s="39"/>
      <c r="G44" s="39"/>
      <c r="H44" s="39"/>
      <c r="I44" s="246"/>
      <c r="J44" s="246"/>
      <c r="K44" s="246"/>
      <c r="L44" s="246" t="s">
        <v>121</v>
      </c>
      <c r="M44" s="246"/>
      <c r="N44" s="246"/>
      <c r="O44" s="246"/>
      <c r="P44"/>
      <c r="Q44" s="246"/>
      <c r="R44" s="246"/>
      <c r="S44" s="246"/>
      <c r="T44" s="69" t="e">
        <f>#REF!+#REF!</f>
        <v>#REF!</v>
      </c>
    </row>
    <row r="45" spans="1:22" s="163" customFormat="1" ht="12.75" customHeight="1" x14ac:dyDescent="0.15">
      <c r="A45" s="239"/>
      <c r="B45" s="39"/>
      <c r="E45" s="39"/>
      <c r="F45" s="39"/>
      <c r="G45" s="39"/>
      <c r="H45" s="39"/>
      <c r="I45" s="246"/>
      <c r="J45" s="246"/>
      <c r="K45" s="246"/>
      <c r="L45" s="246" t="s">
        <v>125</v>
      </c>
      <c r="M45" s="246"/>
      <c r="N45" s="246"/>
      <c r="O45" s="246"/>
      <c r="P45" s="179"/>
      <c r="Q45" s="246"/>
      <c r="R45" s="246"/>
      <c r="S45" s="246"/>
      <c r="T45" s="70"/>
    </row>
    <row r="46" spans="1:22" s="163" customFormat="1" ht="12.75" customHeight="1" x14ac:dyDescent="0.15">
      <c r="A46" s="239"/>
      <c r="B46" s="39"/>
      <c r="E46" s="39"/>
      <c r="F46" s="39"/>
      <c r="G46" s="39"/>
      <c r="H46" s="39"/>
      <c r="I46" s="39"/>
      <c r="J46" s="39"/>
      <c r="K46" s="39"/>
      <c r="M46" s="246"/>
      <c r="N46" s="246"/>
      <c r="O46" s="246"/>
      <c r="P46" s="246"/>
      <c r="Q46" s="246"/>
      <c r="R46" s="246"/>
      <c r="S46" s="246"/>
      <c r="T46" s="70"/>
    </row>
    <row r="47" spans="1:22" s="163" customFormat="1" ht="12.75" customHeight="1" x14ac:dyDescent="0.15">
      <c r="A47" s="239"/>
      <c r="E47" s="39"/>
      <c r="F47" s="39"/>
      <c r="G47" s="39"/>
      <c r="H47" s="39"/>
      <c r="I47" s="39"/>
      <c r="J47" s="39"/>
      <c r="K47" s="39"/>
      <c r="M47" s="246"/>
      <c r="N47" s="246"/>
      <c r="O47" s="246"/>
      <c r="P47" s="246"/>
      <c r="Q47" s="246"/>
      <c r="R47" s="246"/>
      <c r="S47" s="246"/>
      <c r="T47"/>
    </row>
    <row r="48" spans="1:22" s="163" customFormat="1" ht="12.75" customHeight="1" x14ac:dyDescent="0.15">
      <c r="A48" s="239"/>
      <c r="E48" s="39"/>
      <c r="F48" s="39"/>
      <c r="G48" s="39"/>
      <c r="H48" s="39"/>
      <c r="I48" s="39"/>
      <c r="J48" s="39"/>
      <c r="K48" s="39"/>
      <c r="M48" s="246"/>
      <c r="N48" s="246"/>
      <c r="O48" s="246"/>
      <c r="P48" s="246"/>
      <c r="Q48" s="246"/>
      <c r="R48" s="246"/>
      <c r="S48" s="246"/>
      <c r="T48"/>
    </row>
    <row r="49" spans="1:20" s="163" customFormat="1" ht="12.75" customHeight="1" x14ac:dyDescent="0.15">
      <c r="A49" s="239"/>
      <c r="E49" s="39"/>
      <c r="F49" s="39"/>
      <c r="G49" s="39"/>
      <c r="H49" s="39"/>
      <c r="I49" s="39"/>
      <c r="J49" s="39"/>
      <c r="K49" s="39"/>
      <c r="M49" s="246"/>
      <c r="N49" s="246"/>
      <c r="O49" s="246"/>
      <c r="P49" s="246"/>
      <c r="Q49" s="246"/>
      <c r="R49" s="246"/>
      <c r="S49" s="246"/>
      <c r="T49" s="179"/>
    </row>
    <row r="50" spans="1:20" x14ac:dyDescent="0.15">
      <c r="A50" s="66"/>
    </row>
    <row r="51" spans="1:20" x14ac:dyDescent="0.15">
      <c r="H51" s="357"/>
    </row>
    <row r="55" spans="1:20" x14ac:dyDescent="0.15">
      <c r="J55" s="356"/>
    </row>
  </sheetData>
  <mergeCells count="27">
    <mergeCell ref="R42:S42"/>
    <mergeCell ref="B12:B16"/>
    <mergeCell ref="B17:B21"/>
    <mergeCell ref="S12:S16"/>
    <mergeCell ref="S17:S21"/>
    <mergeCell ref="C13:C15"/>
    <mergeCell ref="C18:C20"/>
    <mergeCell ref="S22:S26"/>
    <mergeCell ref="S27:S31"/>
    <mergeCell ref="S33:S37"/>
    <mergeCell ref="R40:S40"/>
    <mergeCell ref="R41:S41"/>
    <mergeCell ref="B22:B26"/>
    <mergeCell ref="B27:B31"/>
    <mergeCell ref="C23:C25"/>
    <mergeCell ref="C28:C30"/>
    <mergeCell ref="B33:B37"/>
    <mergeCell ref="C33:D33"/>
    <mergeCell ref="C34:C37"/>
    <mergeCell ref="B2:D2"/>
    <mergeCell ref="B4:T4"/>
    <mergeCell ref="R3:T3"/>
    <mergeCell ref="B5:B11"/>
    <mergeCell ref="C5:C11"/>
    <mergeCell ref="M3:P3"/>
    <mergeCell ref="S5:S10"/>
    <mergeCell ref="T5:T10"/>
  </mergeCells>
  <phoneticPr fontId="1"/>
  <pageMargins left="0" right="0" top="0.39370078740157483" bottom="0" header="0.15748031496062992" footer="0.11811023622047245"/>
  <pageSetup paperSize="9" scale="7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B2:R46"/>
  <sheetViews>
    <sheetView workbookViewId="0">
      <selection activeCell="N27" sqref="N27"/>
    </sheetView>
  </sheetViews>
  <sheetFormatPr defaultRowHeight="13.5" x14ac:dyDescent="0.15"/>
  <cols>
    <col min="1" max="1" width="3.75" customWidth="1"/>
    <col min="2" max="2" width="1.25" customWidth="1"/>
    <col min="3" max="3" width="13.75" style="2" customWidth="1"/>
    <col min="4" max="4" width="13.25" customWidth="1"/>
    <col min="5" max="5" width="2" customWidth="1"/>
    <col min="6" max="6" width="14.375" style="77" customWidth="1"/>
    <col min="7" max="7" width="12.375" style="77" customWidth="1"/>
    <col min="8" max="10" width="12.375" style="171" customWidth="1"/>
    <col min="11" max="11" width="14.5" customWidth="1"/>
    <col min="12" max="12" width="0.75" customWidth="1"/>
    <col min="13" max="13" width="11.75" customWidth="1"/>
    <col min="14" max="14" width="12.75" customWidth="1"/>
    <col min="15" max="15" width="3.125" customWidth="1"/>
  </cols>
  <sheetData>
    <row r="2" spans="2:18" ht="21.75" customHeight="1" thickBot="1" x14ac:dyDescent="0.2">
      <c r="C2" s="146" t="s">
        <v>108</v>
      </c>
    </row>
    <row r="3" spans="2:18" ht="24" customHeight="1" thickBot="1" x14ac:dyDescent="0.2">
      <c r="B3" s="150"/>
      <c r="C3" s="589" t="s">
        <v>200</v>
      </c>
      <c r="D3" s="590"/>
      <c r="G3" s="174" t="s">
        <v>117</v>
      </c>
      <c r="H3" s="175" t="s">
        <v>109</v>
      </c>
      <c r="I3" s="175" t="s">
        <v>118</v>
      </c>
      <c r="J3" s="175" t="s">
        <v>119</v>
      </c>
      <c r="K3" s="175" t="s">
        <v>201</v>
      </c>
      <c r="M3" s="591" t="s">
        <v>209</v>
      </c>
      <c r="N3" s="592"/>
    </row>
    <row r="4" spans="2:18" ht="18" thickBot="1" x14ac:dyDescent="0.2">
      <c r="B4" s="151"/>
      <c r="C4" s="152" t="s">
        <v>94</v>
      </c>
      <c r="D4" s="159">
        <f>法人一覧!AD143</f>
        <v>415600</v>
      </c>
      <c r="E4" s="148"/>
      <c r="F4" s="305">
        <v>417000</v>
      </c>
      <c r="G4" s="176">
        <v>440040</v>
      </c>
      <c r="H4" s="177">
        <v>441090</v>
      </c>
      <c r="I4" s="177">
        <v>446810</v>
      </c>
      <c r="J4" s="177">
        <v>445470</v>
      </c>
      <c r="K4" s="271">
        <v>446630</v>
      </c>
      <c r="L4" s="148"/>
      <c r="M4" s="1" t="s">
        <v>208</v>
      </c>
      <c r="N4" s="147">
        <f>法人一覧!AD11</f>
        <v>61450</v>
      </c>
      <c r="O4" s="148"/>
      <c r="P4" s="148"/>
      <c r="Q4" s="148"/>
      <c r="R4" s="148"/>
    </row>
    <row r="5" spans="2:18" ht="18" thickBot="1" x14ac:dyDescent="0.2">
      <c r="B5" s="154"/>
      <c r="C5" s="156" t="s">
        <v>102</v>
      </c>
      <c r="D5" s="158">
        <v>93600</v>
      </c>
      <c r="E5" s="148"/>
      <c r="F5" s="305"/>
      <c r="G5" s="174">
        <v>58660</v>
      </c>
      <c r="H5" s="175">
        <v>65420</v>
      </c>
      <c r="I5" s="175">
        <v>64710</v>
      </c>
      <c r="J5" s="175">
        <v>64220</v>
      </c>
      <c r="K5" s="271">
        <v>65700</v>
      </c>
      <c r="L5" s="148"/>
      <c r="M5" s="1" t="s">
        <v>98</v>
      </c>
      <c r="N5" s="147">
        <f>法人一覧!AD24</f>
        <v>54900</v>
      </c>
      <c r="O5" s="148"/>
      <c r="P5" s="148"/>
      <c r="Q5" s="148"/>
      <c r="R5" s="148"/>
    </row>
    <row r="6" spans="2:18" ht="18" thickBot="1" x14ac:dyDescent="0.2">
      <c r="B6" s="153"/>
      <c r="C6" s="155" t="s">
        <v>103</v>
      </c>
      <c r="D6" s="157"/>
      <c r="E6" s="148"/>
      <c r="F6" s="305"/>
      <c r="G6" s="174">
        <v>39060</v>
      </c>
      <c r="H6" s="175">
        <v>32540</v>
      </c>
      <c r="I6" s="175" t="e">
        <f>#REF!</f>
        <v>#REF!</v>
      </c>
      <c r="J6" s="175">
        <v>34020</v>
      </c>
      <c r="K6" s="271">
        <v>35100</v>
      </c>
      <c r="L6" s="148"/>
      <c r="M6" s="1" t="s">
        <v>95</v>
      </c>
      <c r="N6" s="147">
        <f>法人一覧!AD37</f>
        <v>54000</v>
      </c>
      <c r="O6" s="148"/>
      <c r="P6" s="148"/>
      <c r="Q6" s="148"/>
      <c r="R6" s="148"/>
    </row>
    <row r="7" spans="2:18" ht="18" thickBot="1" x14ac:dyDescent="0.2">
      <c r="B7" s="151"/>
      <c r="C7" s="152" t="s">
        <v>22</v>
      </c>
      <c r="D7" s="159"/>
      <c r="E7" s="148"/>
      <c r="F7" s="305">
        <v>92000</v>
      </c>
      <c r="G7" s="176">
        <v>97720</v>
      </c>
      <c r="H7" s="177">
        <f>SUM(H5:H6)</f>
        <v>97960</v>
      </c>
      <c r="I7" s="177" t="e">
        <f>I5+I6</f>
        <v>#REF!</v>
      </c>
      <c r="J7" s="177">
        <f>J5+J6</f>
        <v>98240</v>
      </c>
      <c r="K7" s="184">
        <f>SUM(K5:K6)</f>
        <v>100800</v>
      </c>
      <c r="L7" s="148"/>
      <c r="M7" s="1" t="s">
        <v>96</v>
      </c>
      <c r="N7" s="147">
        <f>法人一覧!AD50</f>
        <v>40500</v>
      </c>
      <c r="O7" s="148"/>
      <c r="P7" s="148"/>
      <c r="Q7" s="148"/>
      <c r="R7" s="148"/>
    </row>
    <row r="8" spans="2:18" ht="18" thickBot="1" x14ac:dyDescent="0.2">
      <c r="B8" s="154"/>
      <c r="C8" s="156" t="s">
        <v>104</v>
      </c>
      <c r="D8" s="158">
        <f>阿部正隆!Y35</f>
        <v>113400</v>
      </c>
      <c r="E8" s="148"/>
      <c r="F8" s="305"/>
      <c r="G8" s="174">
        <v>70260</v>
      </c>
      <c r="H8" s="175">
        <v>75230</v>
      </c>
      <c r="I8" s="175">
        <v>77130</v>
      </c>
      <c r="J8" s="175">
        <v>79890</v>
      </c>
      <c r="K8" s="271">
        <v>87650</v>
      </c>
      <c r="L8" s="148"/>
      <c r="M8" s="1" t="s">
        <v>97</v>
      </c>
      <c r="N8" s="147">
        <f>法人一覧!AD82</f>
        <v>55350</v>
      </c>
      <c r="O8" s="148"/>
      <c r="P8" s="148"/>
      <c r="Q8" s="148"/>
      <c r="R8" s="148"/>
    </row>
    <row r="9" spans="2:18" ht="18" thickBot="1" x14ac:dyDescent="0.2">
      <c r="B9" s="153"/>
      <c r="C9" s="155" t="s">
        <v>202</v>
      </c>
      <c r="D9" s="157"/>
      <c r="E9" s="148"/>
      <c r="F9" s="305"/>
      <c r="G9" s="174">
        <v>50400</v>
      </c>
      <c r="H9" s="175">
        <v>45360</v>
      </c>
      <c r="I9" s="175">
        <v>44100</v>
      </c>
      <c r="J9" s="175">
        <v>41580</v>
      </c>
      <c r="K9" s="271">
        <v>33400</v>
      </c>
      <c r="L9" s="148"/>
      <c r="M9" s="1" t="s">
        <v>99</v>
      </c>
      <c r="N9" s="147">
        <f>法人一覧!AD95</f>
        <v>59400</v>
      </c>
      <c r="O9" s="148"/>
      <c r="P9" s="148"/>
      <c r="Q9" s="148"/>
      <c r="R9" s="148"/>
    </row>
    <row r="10" spans="2:18" ht="18" thickBot="1" x14ac:dyDescent="0.2">
      <c r="B10" s="151"/>
      <c r="C10" s="152" t="s">
        <v>22</v>
      </c>
      <c r="D10" s="159"/>
      <c r="E10" s="148"/>
      <c r="F10" s="305">
        <v>113000</v>
      </c>
      <c r="G10" s="176">
        <v>120660</v>
      </c>
      <c r="H10" s="177">
        <f>SUM(H8:H9)</f>
        <v>120590</v>
      </c>
      <c r="I10" s="177">
        <f>I8+I9</f>
        <v>121230</v>
      </c>
      <c r="J10" s="177">
        <f>J8+J9</f>
        <v>121470</v>
      </c>
      <c r="K10" s="184">
        <f>SUM(K8:K9)</f>
        <v>121050</v>
      </c>
      <c r="L10" s="148"/>
      <c r="M10" s="1" t="s">
        <v>101</v>
      </c>
      <c r="N10" s="147">
        <f>法人一覧!AD108</f>
        <v>73800</v>
      </c>
      <c r="O10" s="148"/>
      <c r="P10" s="148"/>
      <c r="Q10" s="148"/>
      <c r="R10" s="148"/>
    </row>
    <row r="11" spans="2:18" ht="18" thickBot="1" x14ac:dyDescent="0.2">
      <c r="B11" s="151"/>
      <c r="C11" s="152" t="s">
        <v>105</v>
      </c>
      <c r="D11" s="159">
        <f>斉木忠義!Y35</f>
        <v>13500</v>
      </c>
      <c r="E11" s="148"/>
      <c r="F11" s="305">
        <v>13000</v>
      </c>
      <c r="G11" s="176">
        <v>13850</v>
      </c>
      <c r="H11" s="177">
        <v>13850</v>
      </c>
      <c r="I11" s="177" t="e">
        <f>#REF!</f>
        <v>#REF!</v>
      </c>
      <c r="J11" s="177">
        <v>13860</v>
      </c>
      <c r="K11" s="271">
        <v>13950</v>
      </c>
      <c r="L11" s="148"/>
      <c r="M11" s="1"/>
      <c r="N11" s="147">
        <f>法人一覧!AD123</f>
        <v>16200</v>
      </c>
      <c r="O11" s="148"/>
      <c r="P11" s="148"/>
      <c r="Q11" s="148"/>
      <c r="R11" s="148"/>
    </row>
    <row r="12" spans="2:18" ht="18" thickBot="1" x14ac:dyDescent="0.2">
      <c r="B12" s="151"/>
      <c r="C12" s="152" t="s">
        <v>106</v>
      </c>
      <c r="D12" s="159"/>
      <c r="E12" s="148"/>
      <c r="F12" s="305"/>
      <c r="G12" s="176">
        <v>1260</v>
      </c>
      <c r="H12" s="177">
        <v>0</v>
      </c>
      <c r="I12" s="183">
        <v>0</v>
      </c>
      <c r="J12" s="183">
        <v>0</v>
      </c>
      <c r="K12" s="271">
        <v>0</v>
      </c>
      <c r="L12" s="148"/>
      <c r="M12" s="1" t="s">
        <v>100</v>
      </c>
      <c r="N12" s="147" t="e">
        <f>法人一覧!#REF!</f>
        <v>#REF!</v>
      </c>
      <c r="O12" s="148"/>
      <c r="P12" s="148"/>
      <c r="Q12" s="148"/>
      <c r="R12" s="148"/>
    </row>
    <row r="13" spans="2:18" ht="18" thickBot="1" x14ac:dyDescent="0.2">
      <c r="B13" s="151"/>
      <c r="C13" s="152" t="s">
        <v>100</v>
      </c>
      <c r="D13" s="159"/>
      <c r="E13" s="148"/>
      <c r="F13" s="305"/>
      <c r="G13" s="176">
        <v>6300</v>
      </c>
      <c r="H13" s="177">
        <v>6300</v>
      </c>
      <c r="I13" s="183">
        <v>0</v>
      </c>
      <c r="J13" s="183">
        <v>0</v>
      </c>
      <c r="K13" s="271">
        <v>0</v>
      </c>
      <c r="L13" s="148"/>
      <c r="M13" s="1"/>
      <c r="N13" s="147" t="e">
        <f>法人一覧!#REF!</f>
        <v>#REF!</v>
      </c>
      <c r="O13" s="148"/>
      <c r="P13" s="148"/>
      <c r="Q13" s="148"/>
      <c r="R13" s="148"/>
    </row>
    <row r="14" spans="2:18" ht="18" thickBot="1" x14ac:dyDescent="0.2">
      <c r="B14" s="151"/>
      <c r="C14" s="152" t="s">
        <v>107</v>
      </c>
      <c r="D14" s="159">
        <f>下管理組合!T42</f>
        <v>32950</v>
      </c>
      <c r="E14" s="148"/>
      <c r="F14" s="305">
        <v>33000</v>
      </c>
      <c r="G14" s="176">
        <v>33940</v>
      </c>
      <c r="H14" s="177">
        <v>35880</v>
      </c>
      <c r="I14" s="177">
        <v>35910</v>
      </c>
      <c r="J14" s="177">
        <v>35710</v>
      </c>
      <c r="K14" s="271">
        <v>36250</v>
      </c>
      <c r="L14" s="148"/>
      <c r="M14" s="122"/>
      <c r="N14" s="178" t="e">
        <f>法人一覧!#REF!</f>
        <v>#REF!</v>
      </c>
      <c r="O14" s="148"/>
      <c r="P14" s="148"/>
      <c r="Q14" s="148"/>
      <c r="R14" s="148"/>
    </row>
    <row r="15" spans="2:18" ht="18" thickBot="1" x14ac:dyDescent="0.2">
      <c r="B15" s="151"/>
      <c r="C15" s="152"/>
      <c r="D15" s="160">
        <f>D4+D5+D8+D11+D14</f>
        <v>669050</v>
      </c>
      <c r="E15" s="148"/>
      <c r="F15" s="305">
        <f>SUM(F4:F14)</f>
        <v>668000</v>
      </c>
      <c r="G15" s="160">
        <f t="shared" ref="G15:K15" si="0">G4+G7+G10+G11+G12+G13+G14</f>
        <v>713770</v>
      </c>
      <c r="H15" s="160">
        <f t="shared" si="0"/>
        <v>715670</v>
      </c>
      <c r="I15" s="160" t="e">
        <f t="shared" si="0"/>
        <v>#REF!</v>
      </c>
      <c r="J15" s="160">
        <f t="shared" si="0"/>
        <v>714750</v>
      </c>
      <c r="K15" s="184">
        <f t="shared" si="0"/>
        <v>718680</v>
      </c>
      <c r="L15" s="148"/>
      <c r="M15" s="151"/>
      <c r="N15" s="160" t="e">
        <f>SUM(N4:N14)</f>
        <v>#REF!</v>
      </c>
      <c r="O15" s="148"/>
      <c r="P15" s="148"/>
      <c r="Q15" s="148"/>
      <c r="R15" s="148"/>
    </row>
    <row r="16" spans="2:18" ht="17.25" x14ac:dyDescent="0.15">
      <c r="B16" s="148"/>
      <c r="C16" s="149"/>
      <c r="D16" s="148"/>
      <c r="E16" s="148"/>
      <c r="F16" s="305"/>
      <c r="G16" s="161"/>
      <c r="H16" s="172"/>
      <c r="I16" s="172"/>
      <c r="J16" s="172"/>
      <c r="K16" s="148"/>
      <c r="L16" s="148"/>
      <c r="M16" s="148"/>
      <c r="N16" s="148"/>
      <c r="O16" s="148"/>
      <c r="P16" s="148"/>
      <c r="Q16" s="148"/>
      <c r="R16" s="148"/>
    </row>
    <row r="17" spans="2:18" ht="17.25" x14ac:dyDescent="0.15">
      <c r="B17" s="148"/>
      <c r="C17" s="405" t="s">
        <v>269</v>
      </c>
      <c r="D17" s="406">
        <v>0.73</v>
      </c>
      <c r="E17" s="148"/>
      <c r="F17" s="305"/>
      <c r="G17" s="161"/>
      <c r="H17" s="172"/>
      <c r="I17" s="172"/>
      <c r="J17" s="172"/>
      <c r="K17" s="148"/>
      <c r="L17" s="148"/>
      <c r="M17" s="148"/>
      <c r="N17" s="148"/>
      <c r="O17" s="148"/>
      <c r="P17" s="148"/>
      <c r="Q17" s="148"/>
      <c r="R17" s="148"/>
    </row>
    <row r="18" spans="2:18" x14ac:dyDescent="0.15">
      <c r="G18" s="95"/>
      <c r="H18" s="173"/>
      <c r="I18" s="173"/>
      <c r="J18" s="173"/>
    </row>
    <row r="19" spans="2:18" x14ac:dyDescent="0.15">
      <c r="G19" s="95"/>
      <c r="H19" s="173"/>
      <c r="I19" s="173"/>
      <c r="J19" s="173"/>
    </row>
    <row r="20" spans="2:18" x14ac:dyDescent="0.15">
      <c r="G20" s="95"/>
      <c r="H20" s="173"/>
      <c r="I20" s="173"/>
      <c r="J20" s="173"/>
    </row>
    <row r="21" spans="2:18" x14ac:dyDescent="0.15">
      <c r="G21" s="95"/>
      <c r="H21" s="173"/>
      <c r="I21" s="173"/>
      <c r="J21" s="173"/>
    </row>
    <row r="22" spans="2:18" x14ac:dyDescent="0.15">
      <c r="G22" s="95"/>
      <c r="H22" s="173"/>
      <c r="I22" s="173"/>
      <c r="J22" s="173"/>
    </row>
    <row r="23" spans="2:18" x14ac:dyDescent="0.15">
      <c r="G23" s="95"/>
      <c r="H23" s="173"/>
      <c r="I23" s="173"/>
      <c r="J23" s="173"/>
    </row>
    <row r="24" spans="2:18" x14ac:dyDescent="0.15">
      <c r="G24" s="95"/>
      <c r="H24" s="173"/>
      <c r="I24" s="173"/>
      <c r="J24" s="173"/>
    </row>
    <row r="25" spans="2:18" x14ac:dyDescent="0.15">
      <c r="G25" s="95"/>
      <c r="H25" s="173"/>
      <c r="I25" s="173"/>
      <c r="J25" s="173"/>
    </row>
    <row r="26" spans="2:18" x14ac:dyDescent="0.15">
      <c r="G26" s="95"/>
      <c r="H26" s="173"/>
      <c r="I26" s="173"/>
      <c r="J26" s="173"/>
    </row>
    <row r="27" spans="2:18" x14ac:dyDescent="0.15">
      <c r="G27" s="95"/>
      <c r="H27" s="173"/>
      <c r="I27" s="173"/>
      <c r="J27" s="173"/>
    </row>
    <row r="28" spans="2:18" x14ac:dyDescent="0.15">
      <c r="G28" s="95"/>
      <c r="H28" s="173"/>
      <c r="I28" s="173"/>
      <c r="J28" s="173"/>
    </row>
    <row r="29" spans="2:18" x14ac:dyDescent="0.15">
      <c r="G29" s="95"/>
      <c r="H29" s="173"/>
      <c r="I29" s="173"/>
      <c r="J29" s="173"/>
    </row>
    <row r="30" spans="2:18" x14ac:dyDescent="0.15">
      <c r="G30" s="95"/>
      <c r="H30" s="173"/>
      <c r="I30" s="173"/>
      <c r="J30" s="173"/>
    </row>
    <row r="31" spans="2:18" x14ac:dyDescent="0.15">
      <c r="C31"/>
    </row>
    <row r="32" spans="2:18" x14ac:dyDescent="0.15">
      <c r="C32"/>
    </row>
    <row r="33" spans="3:3" x14ac:dyDescent="0.15">
      <c r="C33"/>
    </row>
    <row r="34" spans="3:3" x14ac:dyDescent="0.15">
      <c r="C34"/>
    </row>
    <row r="35" spans="3:3" x14ac:dyDescent="0.15">
      <c r="C35"/>
    </row>
    <row r="36" spans="3:3" x14ac:dyDescent="0.15">
      <c r="C36"/>
    </row>
    <row r="37" spans="3:3" x14ac:dyDescent="0.15">
      <c r="C37"/>
    </row>
    <row r="38" spans="3:3" x14ac:dyDescent="0.15">
      <c r="C38"/>
    </row>
    <row r="39" spans="3:3" x14ac:dyDescent="0.15">
      <c r="C39"/>
    </row>
    <row r="40" spans="3:3" x14ac:dyDescent="0.15">
      <c r="C40"/>
    </row>
    <row r="41" spans="3:3" x14ac:dyDescent="0.15">
      <c r="C41"/>
    </row>
    <row r="42" spans="3:3" x14ac:dyDescent="0.15">
      <c r="C42"/>
    </row>
    <row r="43" spans="3:3" x14ac:dyDescent="0.15">
      <c r="C43"/>
    </row>
    <row r="44" spans="3:3" x14ac:dyDescent="0.15">
      <c r="C44"/>
    </row>
    <row r="45" spans="3:3" x14ac:dyDescent="0.15">
      <c r="C45"/>
    </row>
    <row r="46" spans="3:3" x14ac:dyDescent="0.15">
      <c r="C46"/>
    </row>
  </sheetData>
  <mergeCells count="2">
    <mergeCell ref="C3:D3"/>
    <mergeCell ref="M3:N3"/>
  </mergeCells>
  <phoneticPr fontId="1"/>
  <pageMargins left="0" right="0" top="0.74803149606299213" bottom="0.74803149606299213" header="0.31496062992125984" footer="0.31496062992125984"/>
  <pageSetup paperSize="13" orientation="landscape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G73"/>
  <sheetViews>
    <sheetView workbookViewId="0">
      <selection activeCell="V29" sqref="V29"/>
    </sheetView>
  </sheetViews>
  <sheetFormatPr defaultRowHeight="13.5" x14ac:dyDescent="0.15"/>
  <cols>
    <col min="1" max="1" width="2.625" customWidth="1"/>
    <col min="2" max="2" width="4" customWidth="1"/>
    <col min="3" max="3" width="10.875" customWidth="1"/>
    <col min="4" max="4" width="14.125" customWidth="1"/>
  </cols>
  <sheetData>
    <row r="1" spans="2:33" ht="14.25" x14ac:dyDescent="0.15">
      <c r="B1" s="525" t="s">
        <v>31</v>
      </c>
      <c r="C1" s="525"/>
      <c r="D1" s="526"/>
      <c r="E1" s="11"/>
      <c r="Q1" s="11"/>
      <c r="R1" s="11"/>
      <c r="S1" s="11"/>
      <c r="T1" s="527"/>
      <c r="U1" s="526"/>
      <c r="V1" s="39"/>
      <c r="W1" s="528"/>
      <c r="X1" s="529"/>
      <c r="Y1" s="529"/>
      <c r="Z1" s="39"/>
      <c r="AA1" s="528"/>
      <c r="AB1" s="529"/>
      <c r="AC1" s="529"/>
      <c r="AE1" s="11"/>
      <c r="AF1" s="11"/>
      <c r="AG1" s="11"/>
    </row>
    <row r="2" spans="2:33" ht="21" x14ac:dyDescent="0.15">
      <c r="B2" s="12"/>
      <c r="C2" s="46" t="s">
        <v>45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2:33" x14ac:dyDescent="0.15">
      <c r="B3" s="507" t="s">
        <v>19</v>
      </c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9"/>
    </row>
    <row r="4" spans="2:33" x14ac:dyDescent="0.15">
      <c r="B4" s="489"/>
      <c r="C4" s="489" t="s">
        <v>23</v>
      </c>
      <c r="D4" s="41" t="s">
        <v>32</v>
      </c>
      <c r="E4" s="1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14">
        <v>7</v>
      </c>
      <c r="L4" s="14">
        <v>8</v>
      </c>
      <c r="M4" s="14">
        <v>9</v>
      </c>
      <c r="N4" s="14">
        <v>10</v>
      </c>
      <c r="O4" s="14">
        <v>11</v>
      </c>
      <c r="P4" s="14">
        <v>12</v>
      </c>
      <c r="Q4" s="14">
        <v>13</v>
      </c>
      <c r="R4" s="14">
        <v>14</v>
      </c>
      <c r="S4" s="14">
        <v>15</v>
      </c>
      <c r="T4" s="14">
        <v>16</v>
      </c>
      <c r="U4" s="14">
        <v>17</v>
      </c>
      <c r="V4" s="14">
        <v>18</v>
      </c>
      <c r="W4" s="14">
        <v>19</v>
      </c>
      <c r="X4" s="14">
        <v>20</v>
      </c>
      <c r="Y4" s="14">
        <v>21</v>
      </c>
      <c r="Z4" s="14">
        <v>22</v>
      </c>
      <c r="AA4" s="14">
        <v>23</v>
      </c>
      <c r="AB4" s="14">
        <v>24</v>
      </c>
      <c r="AC4" s="14">
        <v>25</v>
      </c>
      <c r="AD4" s="14">
        <v>26</v>
      </c>
      <c r="AE4" s="500" t="s">
        <v>22</v>
      </c>
      <c r="AF4" s="500" t="s">
        <v>21</v>
      </c>
      <c r="AG4" s="500" t="s">
        <v>20</v>
      </c>
    </row>
    <row r="5" spans="2:33" x14ac:dyDescent="0.15">
      <c r="B5" s="490"/>
      <c r="C5" s="490"/>
      <c r="D5" s="40" t="s">
        <v>25</v>
      </c>
      <c r="E5" s="2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501"/>
      <c r="AF5" s="501"/>
      <c r="AG5" s="501"/>
    </row>
    <row r="6" spans="2:33" x14ac:dyDescent="0.15">
      <c r="B6" s="490"/>
      <c r="C6" s="490"/>
      <c r="D6" s="510" t="s">
        <v>24</v>
      </c>
      <c r="E6" s="24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501"/>
      <c r="AF6" s="501"/>
      <c r="AG6" s="501"/>
    </row>
    <row r="7" spans="2:33" x14ac:dyDescent="0.15">
      <c r="B7" s="490"/>
      <c r="C7" s="490"/>
      <c r="D7" s="490"/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20" t="s">
        <v>4</v>
      </c>
      <c r="V7" s="20" t="s">
        <v>4</v>
      </c>
      <c r="W7" s="20" t="s">
        <v>4</v>
      </c>
      <c r="X7" s="20" t="s">
        <v>4</v>
      </c>
      <c r="Y7" s="20" t="s">
        <v>4</v>
      </c>
      <c r="Z7" s="20" t="s">
        <v>4</v>
      </c>
      <c r="AA7" s="20" t="s">
        <v>4</v>
      </c>
      <c r="AB7" s="20" t="s">
        <v>4</v>
      </c>
      <c r="AC7" s="20" t="s">
        <v>4</v>
      </c>
      <c r="AD7" s="20" t="s">
        <v>4</v>
      </c>
      <c r="AE7" s="501"/>
      <c r="AF7" s="501"/>
      <c r="AG7" s="501"/>
    </row>
    <row r="8" spans="2:33" x14ac:dyDescent="0.15">
      <c r="B8" s="490"/>
      <c r="C8" s="490"/>
      <c r="D8" s="511"/>
      <c r="E8" s="25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501"/>
      <c r="AF8" s="501"/>
      <c r="AG8" s="501"/>
    </row>
    <row r="9" spans="2:33" x14ac:dyDescent="0.15">
      <c r="B9" s="490"/>
      <c r="C9" s="490"/>
      <c r="D9" s="9" t="s">
        <v>5</v>
      </c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501"/>
      <c r="AF9" s="501"/>
      <c r="AG9" s="501"/>
    </row>
    <row r="10" spans="2:33" ht="49.5" x14ac:dyDescent="0.15">
      <c r="B10" s="491"/>
      <c r="C10" s="524"/>
      <c r="D10" s="26" t="s">
        <v>15</v>
      </c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02"/>
      <c r="AF10" s="502"/>
      <c r="AG10" s="502"/>
    </row>
    <row r="11" spans="2:33" x14ac:dyDescent="0.15">
      <c r="B11" s="499">
        <v>1</v>
      </c>
      <c r="C11" s="530"/>
      <c r="D11" s="42" t="s">
        <v>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>
        <f>SUM(E11:AD11)</f>
        <v>0</v>
      </c>
      <c r="AF11" s="532">
        <f>AE11+AE12+AE13+AE14+AE15</f>
        <v>0</v>
      </c>
      <c r="AG11" s="532"/>
    </row>
    <row r="12" spans="2:33" x14ac:dyDescent="0.15">
      <c r="B12" s="499"/>
      <c r="C12" s="530"/>
      <c r="D12" s="31" t="s">
        <v>29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>
        <f>SUM(E12:AD12)</f>
        <v>0</v>
      </c>
      <c r="AF12" s="533"/>
      <c r="AG12" s="533"/>
    </row>
    <row r="13" spans="2:33" x14ac:dyDescent="0.15">
      <c r="B13" s="499"/>
      <c r="C13" s="530"/>
      <c r="D13" s="43" t="s">
        <v>35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32">
        <f>SUM(E13:AD13)</f>
        <v>0</v>
      </c>
      <c r="AF13" s="533"/>
      <c r="AG13" s="533"/>
    </row>
    <row r="14" spans="2:33" x14ac:dyDescent="0.15">
      <c r="B14" s="499"/>
      <c r="C14" s="530"/>
      <c r="D14" s="43" t="s">
        <v>36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32">
        <f>SUM(E14:AD14)</f>
        <v>0</v>
      </c>
      <c r="AF14" s="533"/>
      <c r="AG14" s="533"/>
    </row>
    <row r="15" spans="2:33" x14ac:dyDescent="0.15">
      <c r="B15" s="488"/>
      <c r="C15" s="531"/>
      <c r="D15" s="30" t="s">
        <v>27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>
        <f>SUM(E15:AD15)</f>
        <v>0</v>
      </c>
      <c r="AF15" s="524"/>
      <c r="AG15" s="524"/>
    </row>
    <row r="16" spans="2:33" x14ac:dyDescent="0.15">
      <c r="B16" s="499">
        <v>2</v>
      </c>
      <c r="C16" s="530"/>
      <c r="D16" s="42" t="s">
        <v>26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>
        <f t="shared" ref="AE16:AE65" si="0">SUM(E16:AD16)</f>
        <v>0</v>
      </c>
      <c r="AF16" s="532">
        <f>AE16+AE17+AE18+AE19+AE20</f>
        <v>0</v>
      </c>
      <c r="AG16" s="532"/>
    </row>
    <row r="17" spans="2:33" x14ac:dyDescent="0.15">
      <c r="B17" s="499"/>
      <c r="C17" s="530"/>
      <c r="D17" s="31" t="s">
        <v>29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>
        <f t="shared" si="0"/>
        <v>0</v>
      </c>
      <c r="AF17" s="533"/>
      <c r="AG17" s="533"/>
    </row>
    <row r="18" spans="2:33" x14ac:dyDescent="0.15">
      <c r="B18" s="499"/>
      <c r="C18" s="530"/>
      <c r="D18" s="43" t="s">
        <v>35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32">
        <f>SUM(E18:AD18)</f>
        <v>0</v>
      </c>
      <c r="AF18" s="533"/>
      <c r="AG18" s="533"/>
    </row>
    <row r="19" spans="2:33" x14ac:dyDescent="0.15">
      <c r="B19" s="499"/>
      <c r="C19" s="530"/>
      <c r="D19" s="43" t="s">
        <v>36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44"/>
      <c r="AC19" s="44"/>
      <c r="AD19" s="32"/>
      <c r="AE19" s="32">
        <f>SUM(E19:AD19)</f>
        <v>0</v>
      </c>
      <c r="AF19" s="533"/>
      <c r="AG19" s="533"/>
    </row>
    <row r="20" spans="2:33" x14ac:dyDescent="0.15">
      <c r="B20" s="488"/>
      <c r="C20" s="531"/>
      <c r="D20" s="30" t="s">
        <v>27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7"/>
      <c r="AC20" s="17"/>
      <c r="AD20" s="18"/>
      <c r="AE20" s="17">
        <f t="shared" si="0"/>
        <v>0</v>
      </c>
      <c r="AF20" s="524"/>
      <c r="AG20" s="524"/>
    </row>
    <row r="21" spans="2:33" x14ac:dyDescent="0.15">
      <c r="B21" s="499">
        <v>3</v>
      </c>
      <c r="C21" s="530"/>
      <c r="D21" s="42" t="s">
        <v>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>
        <f t="shared" si="0"/>
        <v>0</v>
      </c>
      <c r="AF21" s="532">
        <f>AE21+AE22+AE23+AE24+AE25</f>
        <v>0</v>
      </c>
      <c r="AG21" s="532"/>
    </row>
    <row r="22" spans="2:33" x14ac:dyDescent="0.15">
      <c r="B22" s="499"/>
      <c r="C22" s="530"/>
      <c r="D22" s="31" t="s">
        <v>29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>
        <f t="shared" si="0"/>
        <v>0</v>
      </c>
      <c r="AF22" s="533"/>
      <c r="AG22" s="533"/>
    </row>
    <row r="23" spans="2:33" x14ac:dyDescent="0.15">
      <c r="B23" s="499"/>
      <c r="C23" s="530"/>
      <c r="D23" s="43" t="s">
        <v>35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32">
        <f>SUM(E23:AD23)</f>
        <v>0</v>
      </c>
      <c r="AF23" s="533"/>
      <c r="AG23" s="533"/>
    </row>
    <row r="24" spans="2:33" x14ac:dyDescent="0.15">
      <c r="B24" s="499"/>
      <c r="C24" s="530"/>
      <c r="D24" s="43" t="s">
        <v>36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32">
        <f>SUM(E24:AD24)</f>
        <v>0</v>
      </c>
      <c r="AF24" s="533"/>
      <c r="AG24" s="533"/>
    </row>
    <row r="25" spans="2:33" x14ac:dyDescent="0.15">
      <c r="B25" s="488"/>
      <c r="C25" s="531"/>
      <c r="D25" s="30" t="s">
        <v>27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>
        <f t="shared" si="0"/>
        <v>0</v>
      </c>
      <c r="AF25" s="524"/>
      <c r="AG25" s="524"/>
    </row>
    <row r="26" spans="2:33" x14ac:dyDescent="0.15">
      <c r="B26" s="499">
        <v>4</v>
      </c>
      <c r="C26" s="530"/>
      <c r="D26" s="42" t="s">
        <v>26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>
        <f t="shared" si="0"/>
        <v>0</v>
      </c>
      <c r="AF26" s="532">
        <f>AE26+AE27+AE28+AE29+AE30</f>
        <v>0</v>
      </c>
      <c r="AG26" s="532"/>
    </row>
    <row r="27" spans="2:33" x14ac:dyDescent="0.15">
      <c r="B27" s="499"/>
      <c r="C27" s="530"/>
      <c r="D27" s="31" t="s">
        <v>29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>
        <f t="shared" si="0"/>
        <v>0</v>
      </c>
      <c r="AF27" s="533"/>
      <c r="AG27" s="533"/>
    </row>
    <row r="28" spans="2:33" x14ac:dyDescent="0.15">
      <c r="B28" s="499"/>
      <c r="C28" s="530"/>
      <c r="D28" s="43" t="s">
        <v>35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32">
        <f>SUM(E28:AD28)</f>
        <v>0</v>
      </c>
      <c r="AF28" s="533"/>
      <c r="AG28" s="533"/>
    </row>
    <row r="29" spans="2:33" x14ac:dyDescent="0.15">
      <c r="B29" s="499"/>
      <c r="C29" s="530"/>
      <c r="D29" s="43" t="s">
        <v>36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44"/>
      <c r="X29" s="32"/>
      <c r="Y29" s="32"/>
      <c r="Z29" s="32"/>
      <c r="AA29" s="32"/>
      <c r="AB29" s="32"/>
      <c r="AC29" s="32"/>
      <c r="AD29" s="32"/>
      <c r="AE29" s="32">
        <f>SUM(E29:AD29)</f>
        <v>0</v>
      </c>
      <c r="AF29" s="533"/>
      <c r="AG29" s="533"/>
    </row>
    <row r="30" spans="2:33" x14ac:dyDescent="0.15">
      <c r="B30" s="488"/>
      <c r="C30" s="531"/>
      <c r="D30" s="30" t="s">
        <v>27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7"/>
      <c r="X30" s="18"/>
      <c r="Y30" s="18"/>
      <c r="Z30" s="18"/>
      <c r="AA30" s="18"/>
      <c r="AB30" s="18"/>
      <c r="AC30" s="18"/>
      <c r="AD30" s="18"/>
      <c r="AE30" s="17">
        <f t="shared" si="0"/>
        <v>0</v>
      </c>
      <c r="AF30" s="524"/>
      <c r="AG30" s="524"/>
    </row>
    <row r="31" spans="2:33" x14ac:dyDescent="0.15">
      <c r="B31" s="499">
        <v>5</v>
      </c>
      <c r="C31" s="530"/>
      <c r="D31" s="42" t="s">
        <v>26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>
        <f t="shared" si="0"/>
        <v>0</v>
      </c>
      <c r="AF31" s="532">
        <f>AE31+AE32+AE33+AE34+AE35</f>
        <v>0</v>
      </c>
      <c r="AG31" s="532"/>
    </row>
    <row r="32" spans="2:33" x14ac:dyDescent="0.15">
      <c r="B32" s="499"/>
      <c r="C32" s="530"/>
      <c r="D32" s="31" t="s">
        <v>29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>
        <f t="shared" si="0"/>
        <v>0</v>
      </c>
      <c r="AF32" s="533"/>
      <c r="AG32" s="533"/>
    </row>
    <row r="33" spans="2:33" x14ac:dyDescent="0.15">
      <c r="B33" s="499"/>
      <c r="C33" s="530"/>
      <c r="D33" s="43" t="s">
        <v>35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32">
        <f>SUM(E33:AD33)</f>
        <v>0</v>
      </c>
      <c r="AF33" s="533"/>
      <c r="AG33" s="533"/>
    </row>
    <row r="34" spans="2:33" x14ac:dyDescent="0.15">
      <c r="B34" s="499"/>
      <c r="C34" s="530"/>
      <c r="D34" s="43" t="s">
        <v>36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32">
        <f>SUM(E34:AD34)</f>
        <v>0</v>
      </c>
      <c r="AF34" s="533"/>
      <c r="AG34" s="533"/>
    </row>
    <row r="35" spans="2:33" x14ac:dyDescent="0.15">
      <c r="B35" s="488"/>
      <c r="C35" s="531"/>
      <c r="D35" s="30" t="s">
        <v>27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>
        <f t="shared" si="0"/>
        <v>0</v>
      </c>
      <c r="AF35" s="524"/>
      <c r="AG35" s="524"/>
    </row>
    <row r="36" spans="2:33" x14ac:dyDescent="0.15">
      <c r="B36" s="499">
        <v>6</v>
      </c>
      <c r="C36" s="530"/>
      <c r="D36" s="42" t="s">
        <v>26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>
        <f t="shared" si="0"/>
        <v>0</v>
      </c>
      <c r="AF36" s="532">
        <f>AE36+AE37+AE38+AE39+AE40</f>
        <v>0</v>
      </c>
      <c r="AG36" s="532"/>
    </row>
    <row r="37" spans="2:33" x14ac:dyDescent="0.15">
      <c r="B37" s="499"/>
      <c r="C37" s="530"/>
      <c r="D37" s="31" t="s">
        <v>29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>
        <f t="shared" si="0"/>
        <v>0</v>
      </c>
      <c r="AF37" s="533"/>
      <c r="AG37" s="533"/>
    </row>
    <row r="38" spans="2:33" x14ac:dyDescent="0.15">
      <c r="B38" s="499"/>
      <c r="C38" s="530"/>
      <c r="D38" s="43" t="s">
        <v>35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32">
        <f>SUM(E38:AD38)</f>
        <v>0</v>
      </c>
      <c r="AF38" s="533"/>
      <c r="AG38" s="533"/>
    </row>
    <row r="39" spans="2:33" x14ac:dyDescent="0.15">
      <c r="B39" s="499"/>
      <c r="C39" s="530"/>
      <c r="D39" s="43" t="s">
        <v>36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44"/>
      <c r="AE39" s="32">
        <f>SUM(E39:AD39)</f>
        <v>0</v>
      </c>
      <c r="AF39" s="533"/>
      <c r="AG39" s="533"/>
    </row>
    <row r="40" spans="2:33" x14ac:dyDescent="0.15">
      <c r="B40" s="488"/>
      <c r="C40" s="531"/>
      <c r="D40" s="30" t="s">
        <v>27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7"/>
      <c r="AE40" s="17">
        <f t="shared" si="0"/>
        <v>0</v>
      </c>
      <c r="AF40" s="524"/>
      <c r="AG40" s="524"/>
    </row>
    <row r="41" spans="2:33" x14ac:dyDescent="0.15">
      <c r="B41" s="499">
        <v>7</v>
      </c>
      <c r="C41" s="530"/>
      <c r="D41" s="42" t="s">
        <v>26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>
        <f t="shared" si="0"/>
        <v>0</v>
      </c>
      <c r="AF41" s="532">
        <f>AE41+AE42+AE43+AE44+AE45</f>
        <v>0</v>
      </c>
      <c r="AG41" s="532"/>
    </row>
    <row r="42" spans="2:33" x14ac:dyDescent="0.15">
      <c r="B42" s="499"/>
      <c r="C42" s="530"/>
      <c r="D42" s="31" t="s">
        <v>29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>
        <f t="shared" si="0"/>
        <v>0</v>
      </c>
      <c r="AF42" s="533"/>
      <c r="AG42" s="533"/>
    </row>
    <row r="43" spans="2:33" x14ac:dyDescent="0.15">
      <c r="B43" s="499"/>
      <c r="C43" s="530"/>
      <c r="D43" s="43" t="s">
        <v>35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32">
        <f>SUM(E43:AD43)</f>
        <v>0</v>
      </c>
      <c r="AF43" s="533"/>
      <c r="AG43" s="533"/>
    </row>
    <row r="44" spans="2:33" x14ac:dyDescent="0.15">
      <c r="B44" s="499"/>
      <c r="C44" s="530"/>
      <c r="D44" s="43" t="s">
        <v>36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32">
        <f>SUM(E44:AD44)</f>
        <v>0</v>
      </c>
      <c r="AF44" s="533"/>
      <c r="AG44" s="533"/>
    </row>
    <row r="45" spans="2:33" x14ac:dyDescent="0.15">
      <c r="B45" s="488"/>
      <c r="C45" s="531"/>
      <c r="D45" s="30" t="s">
        <v>27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>
        <f t="shared" si="0"/>
        <v>0</v>
      </c>
      <c r="AF45" s="524"/>
      <c r="AG45" s="524"/>
    </row>
    <row r="46" spans="2:33" x14ac:dyDescent="0.15">
      <c r="B46" s="499">
        <v>8</v>
      </c>
      <c r="C46" s="530"/>
      <c r="D46" s="42" t="s">
        <v>26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16">
        <f t="shared" si="0"/>
        <v>0</v>
      </c>
      <c r="AF46" s="532">
        <f>AE46+AE47+AE48+AE49+AE50</f>
        <v>0</v>
      </c>
      <c r="AG46" s="532"/>
    </row>
    <row r="47" spans="2:33" x14ac:dyDescent="0.15">
      <c r="B47" s="499"/>
      <c r="C47" s="530"/>
      <c r="D47" s="31" t="s">
        <v>29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2">
        <f t="shared" si="0"/>
        <v>0</v>
      </c>
      <c r="AF47" s="533"/>
      <c r="AG47" s="533"/>
    </row>
    <row r="48" spans="2:33" x14ac:dyDescent="0.15">
      <c r="B48" s="499"/>
      <c r="C48" s="530"/>
      <c r="D48" s="43" t="s">
        <v>35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32">
        <f>SUM(E48:AD48)</f>
        <v>0</v>
      </c>
      <c r="AF48" s="533"/>
      <c r="AG48" s="533"/>
    </row>
    <row r="49" spans="2:33" x14ac:dyDescent="0.15">
      <c r="B49" s="499"/>
      <c r="C49" s="530"/>
      <c r="D49" s="43" t="s">
        <v>36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>
        <f>SUM(E49:AD49)</f>
        <v>0</v>
      </c>
      <c r="AF49" s="533"/>
      <c r="AG49" s="533"/>
    </row>
    <row r="50" spans="2:33" x14ac:dyDescent="0.15">
      <c r="B50" s="488"/>
      <c r="C50" s="531"/>
      <c r="D50" s="30" t="s">
        <v>27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7">
        <f t="shared" si="0"/>
        <v>0</v>
      </c>
      <c r="AF50" s="524"/>
      <c r="AG50" s="524"/>
    </row>
    <row r="51" spans="2:33" x14ac:dyDescent="0.15">
      <c r="B51" s="499">
        <v>9</v>
      </c>
      <c r="C51" s="530"/>
      <c r="D51" s="42" t="s">
        <v>26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>
        <f t="shared" si="0"/>
        <v>0</v>
      </c>
      <c r="AF51" s="532">
        <f>AE51+AE52+AE53+AE54+AE55</f>
        <v>0</v>
      </c>
      <c r="AG51" s="532"/>
    </row>
    <row r="52" spans="2:33" x14ac:dyDescent="0.15">
      <c r="B52" s="499"/>
      <c r="C52" s="530"/>
      <c r="D52" s="31" t="s">
        <v>29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>
        <f t="shared" si="0"/>
        <v>0</v>
      </c>
      <c r="AF52" s="533"/>
      <c r="AG52" s="533"/>
    </row>
    <row r="53" spans="2:33" x14ac:dyDescent="0.15">
      <c r="B53" s="499"/>
      <c r="C53" s="530"/>
      <c r="D53" s="43" t="s">
        <v>35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32">
        <f>SUM(E53:AD53)</f>
        <v>0</v>
      </c>
      <c r="AF53" s="533"/>
      <c r="AG53" s="533"/>
    </row>
    <row r="54" spans="2:33" x14ac:dyDescent="0.15">
      <c r="B54" s="499"/>
      <c r="C54" s="530"/>
      <c r="D54" s="43" t="s">
        <v>36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32">
        <f>SUM(E54:AD54)</f>
        <v>0</v>
      </c>
      <c r="AF54" s="533"/>
      <c r="AG54" s="533"/>
    </row>
    <row r="55" spans="2:33" x14ac:dyDescent="0.15">
      <c r="B55" s="488"/>
      <c r="C55" s="531"/>
      <c r="D55" s="30" t="s">
        <v>27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>
        <f t="shared" si="0"/>
        <v>0</v>
      </c>
      <c r="AF55" s="524"/>
      <c r="AG55" s="524"/>
    </row>
    <row r="56" spans="2:33" x14ac:dyDescent="0.15">
      <c r="B56" s="499">
        <v>10</v>
      </c>
      <c r="C56" s="530"/>
      <c r="D56" s="42" t="s">
        <v>26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>
        <f t="shared" si="0"/>
        <v>0</v>
      </c>
      <c r="AF56" s="532">
        <f>AE56+AE57+AE58+AE59+AE60</f>
        <v>0</v>
      </c>
      <c r="AG56" s="532"/>
    </row>
    <row r="57" spans="2:33" x14ac:dyDescent="0.15">
      <c r="B57" s="499"/>
      <c r="C57" s="530"/>
      <c r="D57" s="31" t="s">
        <v>29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>
        <f t="shared" si="0"/>
        <v>0</v>
      </c>
      <c r="AF57" s="533"/>
      <c r="AG57" s="533"/>
    </row>
    <row r="58" spans="2:33" x14ac:dyDescent="0.15">
      <c r="B58" s="499"/>
      <c r="C58" s="530"/>
      <c r="D58" s="43" t="s">
        <v>35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32">
        <f>SUM(E58:AD58)</f>
        <v>0</v>
      </c>
      <c r="AF58" s="533"/>
      <c r="AG58" s="533"/>
    </row>
    <row r="59" spans="2:33" x14ac:dyDescent="0.15">
      <c r="B59" s="499"/>
      <c r="C59" s="530"/>
      <c r="D59" s="43" t="s">
        <v>36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32">
        <f>SUM(E59:AD59)</f>
        <v>0</v>
      </c>
      <c r="AF59" s="533"/>
      <c r="AG59" s="533"/>
    </row>
    <row r="60" spans="2:33" x14ac:dyDescent="0.15">
      <c r="B60" s="488"/>
      <c r="C60" s="531"/>
      <c r="D60" s="30" t="s">
        <v>27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>
        <f t="shared" si="0"/>
        <v>0</v>
      </c>
      <c r="AF60" s="524"/>
      <c r="AG60" s="524"/>
    </row>
    <row r="61" spans="2:33" x14ac:dyDescent="0.15">
      <c r="B61" s="499">
        <v>11</v>
      </c>
      <c r="C61" s="530"/>
      <c r="D61" s="42" t="s">
        <v>26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>
        <f t="shared" si="0"/>
        <v>0</v>
      </c>
      <c r="AF61" s="532">
        <f>AE61+AE62+AE63+AE64+AE65</f>
        <v>0</v>
      </c>
      <c r="AG61" s="532"/>
    </row>
    <row r="62" spans="2:33" x14ac:dyDescent="0.15">
      <c r="B62" s="499"/>
      <c r="C62" s="530"/>
      <c r="D62" s="31" t="s">
        <v>29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>
        <f t="shared" si="0"/>
        <v>0</v>
      </c>
      <c r="AF62" s="533"/>
      <c r="AG62" s="533"/>
    </row>
    <row r="63" spans="2:33" x14ac:dyDescent="0.15">
      <c r="B63" s="499"/>
      <c r="C63" s="530"/>
      <c r="D63" s="43" t="s">
        <v>35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32">
        <f>SUM(E63:AD63)</f>
        <v>0</v>
      </c>
      <c r="AF63" s="533"/>
      <c r="AG63" s="533"/>
    </row>
    <row r="64" spans="2:33" x14ac:dyDescent="0.15">
      <c r="B64" s="499"/>
      <c r="C64" s="530"/>
      <c r="D64" s="43" t="s">
        <v>36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44"/>
      <c r="AE64" s="32">
        <f>SUM(E64:AD64)</f>
        <v>0</v>
      </c>
      <c r="AF64" s="533"/>
      <c r="AG64" s="533"/>
    </row>
    <row r="65" spans="2:33" x14ac:dyDescent="0.15">
      <c r="B65" s="488"/>
      <c r="C65" s="531"/>
      <c r="D65" s="30" t="s">
        <v>27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7"/>
      <c r="AE65" s="17">
        <f t="shared" si="0"/>
        <v>0</v>
      </c>
      <c r="AF65" s="524"/>
      <c r="AG65" s="524"/>
    </row>
    <row r="66" spans="2:33" x14ac:dyDescent="0.15">
      <c r="B66" s="534" t="s">
        <v>28</v>
      </c>
      <c r="C66" s="535"/>
      <c r="D66" s="53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3" x14ac:dyDescent="0.15">
      <c r="B67" s="2"/>
    </row>
    <row r="68" spans="2:33" x14ac:dyDescent="0.15">
      <c r="B68" s="2"/>
      <c r="AD68" t="s">
        <v>115</v>
      </c>
      <c r="AG68" s="69" t="e">
        <f>#REF!+#REF!</f>
        <v>#REF!</v>
      </c>
    </row>
    <row r="69" spans="2:33" x14ac:dyDescent="0.15">
      <c r="B69" s="2"/>
      <c r="AD69" t="s">
        <v>112</v>
      </c>
      <c r="AG69" s="70"/>
    </row>
    <row r="70" spans="2:33" x14ac:dyDescent="0.15">
      <c r="B70" s="2"/>
      <c r="AD70" t="s">
        <v>113</v>
      </c>
      <c r="AG70" s="70"/>
    </row>
    <row r="71" spans="2:33" x14ac:dyDescent="0.15">
      <c r="B71" s="2"/>
      <c r="AD71" t="s">
        <v>114</v>
      </c>
    </row>
    <row r="72" spans="2:33" x14ac:dyDescent="0.15">
      <c r="AD72" t="s">
        <v>110</v>
      </c>
    </row>
    <row r="73" spans="2:33" x14ac:dyDescent="0.15">
      <c r="AD73" s="468" t="s">
        <v>111</v>
      </c>
      <c r="AE73" s="468"/>
      <c r="AF73" s="468"/>
      <c r="AG73" s="468"/>
    </row>
  </sheetData>
  <mergeCells count="57">
    <mergeCell ref="B41:B45"/>
    <mergeCell ref="C41:C45"/>
    <mergeCell ref="AF41:AF45"/>
    <mergeCell ref="AG41:AG45"/>
    <mergeCell ref="B46:B50"/>
    <mergeCell ref="C46:C50"/>
    <mergeCell ref="AF46:AF50"/>
    <mergeCell ref="AG46:AG50"/>
    <mergeCell ref="AD73:AG73"/>
    <mergeCell ref="B51:B55"/>
    <mergeCell ref="C51:C55"/>
    <mergeCell ref="AF51:AF55"/>
    <mergeCell ref="AG51:AG55"/>
    <mergeCell ref="B56:B60"/>
    <mergeCell ref="C56:C60"/>
    <mergeCell ref="AF56:AF60"/>
    <mergeCell ref="AG56:AG60"/>
    <mergeCell ref="B61:B65"/>
    <mergeCell ref="C61:C65"/>
    <mergeCell ref="AF61:AF65"/>
    <mergeCell ref="AG61:AG65"/>
    <mergeCell ref="B66:D66"/>
    <mergeCell ref="B26:B30"/>
    <mergeCell ref="C26:C30"/>
    <mergeCell ref="AF26:AF30"/>
    <mergeCell ref="AG26:AG30"/>
    <mergeCell ref="B31:B35"/>
    <mergeCell ref="C31:C35"/>
    <mergeCell ref="AF31:AF35"/>
    <mergeCell ref="AG31:AG35"/>
    <mergeCell ref="B36:B40"/>
    <mergeCell ref="C36:C40"/>
    <mergeCell ref="AF36:AF40"/>
    <mergeCell ref="AG36:AG40"/>
    <mergeCell ref="C11:C15"/>
    <mergeCell ref="AF11:AF15"/>
    <mergeCell ref="AG11:AG15"/>
    <mergeCell ref="B21:B25"/>
    <mergeCell ref="C21:C25"/>
    <mergeCell ref="AF21:AF25"/>
    <mergeCell ref="AG21:AG25"/>
    <mergeCell ref="B16:B20"/>
    <mergeCell ref="C16:C20"/>
    <mergeCell ref="AF16:AF20"/>
    <mergeCell ref="AG16:AG20"/>
    <mergeCell ref="B11:B15"/>
    <mergeCell ref="B1:D1"/>
    <mergeCell ref="T1:U1"/>
    <mergeCell ref="W1:Y1"/>
    <mergeCell ref="AA1:AC1"/>
    <mergeCell ref="B3:AG3"/>
    <mergeCell ref="B4:B10"/>
    <mergeCell ref="C4:C10"/>
    <mergeCell ref="AE4:AE10"/>
    <mergeCell ref="AF4:AF10"/>
    <mergeCell ref="AG4:AG10"/>
    <mergeCell ref="D6:D8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7</vt:i4>
      </vt:variant>
    </vt:vector>
  </HeadingPairs>
  <TitlesOfParts>
    <vt:vector size="16" baseType="lpstr">
      <vt:lpstr>日当整理表（農・維）</vt:lpstr>
      <vt:lpstr>法人一覧</vt:lpstr>
      <vt:lpstr>Sheet11</vt:lpstr>
      <vt:lpstr>2.藤井</vt:lpstr>
      <vt:lpstr>阿部正隆</vt:lpstr>
      <vt:lpstr>斉木忠義</vt:lpstr>
      <vt:lpstr>下管理組合</vt:lpstr>
      <vt:lpstr>一覧</vt:lpstr>
      <vt:lpstr>元表</vt:lpstr>
      <vt:lpstr>'2.藤井'!Print_Area</vt:lpstr>
      <vt:lpstr>阿部正隆!Print_Area</vt:lpstr>
      <vt:lpstr>一覧!Print_Area</vt:lpstr>
      <vt:lpstr>下管理組合!Print_Area</vt:lpstr>
      <vt:lpstr>斉木忠義!Print_Area</vt:lpstr>
      <vt:lpstr>'日当整理表（農・維）'!Print_Area</vt:lpstr>
      <vt:lpstr>法人一覧!Print_Area</vt:lpstr>
    </vt:vector>
  </TitlesOfParts>
  <Company>柏崎市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田邉　正樹</dc:creator>
  <cp:lastModifiedBy>茂 嘉藤</cp:lastModifiedBy>
  <cp:lastPrinted>2025-12-17T07:34:57Z</cp:lastPrinted>
  <dcterms:created xsi:type="dcterms:W3CDTF">2014-04-01T07:50:55Z</dcterms:created>
  <dcterms:modified xsi:type="dcterms:W3CDTF">2025-12-17T07:35:45Z</dcterms:modified>
</cp:coreProperties>
</file>